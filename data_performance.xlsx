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" sheetId="1" r:id="rId1"/>
  </sheets>
  <definedNames>
    <definedName name="PRESENTASETOTAL">LAMBDA(SUM([1]MDC!$M$105:$S$105)/700%)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 m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68"/>
  <sheetViews>
    <sheetView workbookViewId="0" rightToLeft="0"/>
  </sheetViews>
  <sheetData>
    <row r="1">
      <c r="A1" t="str">
        <v>O</v>
      </c>
      <c r="B1" t="str">
        <v>REGION</v>
      </c>
      <c r="C1" t="str">
        <v>LOCATION</v>
      </c>
      <c r="D1" t="str">
        <v>LETTER CODE</v>
      </c>
      <c r="E1" t="str">
        <v>TARGET</v>
      </c>
      <c r="F1" t="str">
        <v>GENERATOR SET</v>
      </c>
      <c r="G1" t="str">
        <v>PANEL TEGANGAN MENENGAH</v>
      </c>
      <c r="H1" t="str">
        <v>PANEL TEGANGAN RENDAH</v>
      </c>
      <c r="I1" t="str">
        <v>TRANSFORMATOR</v>
      </c>
      <c r="J1" t="str">
        <v>UNINTERRUPTIBLE POWER SUPPLY (UPS)</v>
      </c>
      <c r="K1" t="str">
        <v>AERONAUTICAL GROUND LIGHTING</v>
      </c>
      <c r="L1" t="str">
        <v>KETERANGAN PERMASALAHAN ELEKTRIKAL</v>
      </c>
      <c r="M1" t="str">
        <v xml:space="preserve"> SISTEM HVAC</v>
      </c>
      <c r="N1" t="str">
        <v>WATER SUPPLY SYSTEM. STP DAN SISTEM PEMADAM</v>
      </c>
      <c r="O1" t="str">
        <v>BAGGAGE HANDLING SYSTEM (BHS)</v>
      </c>
      <c r="P1" t="str">
        <v>PASENGGER MOVING SYSTEM (PMS)</v>
      </c>
      <c r="Q1" t="str">
        <v>GARBARATA</v>
      </c>
      <c r="R1" t="str">
        <v>PKP-PK</v>
      </c>
      <c r="S1" t="str">
        <v>A2B &amp; KENDARAAN OPERASIONAL</v>
      </c>
      <c r="T1" t="str">
        <v>GROUND SUPPORT SERVICE</v>
      </c>
      <c r="U1" t="str">
        <v>KETERANGAN PERMASALAHAN MEKANIKAL</v>
      </c>
      <c r="V1" t="str">
        <v>XRAY</v>
      </c>
      <c r="W1" t="str">
        <v>WTMD</v>
      </c>
      <c r="X1" t="str">
        <v>HHMD</v>
      </c>
      <c r="Y1" t="str">
        <v>ETD</v>
      </c>
      <c r="Z1" t="str">
        <v>CCTV</v>
      </c>
      <c r="AA1" t="str">
        <v>BODY SCANNER</v>
      </c>
      <c r="AB1" t="str">
        <v>ACCESS CONTROL</v>
      </c>
      <c r="AC1" t="str">
        <v>FIRE ALARM SYSTEM</v>
      </c>
      <c r="AD1" t="str">
        <v>RADIO COMMUNICATION</v>
      </c>
      <c r="AE1" t="str">
        <v>FIDS</v>
      </c>
      <c r="AF1" t="str">
        <v>PUBLIC ADRESSING SYSTEM</v>
      </c>
      <c r="AG1" t="str">
        <v>BIRD DETERRENT</v>
      </c>
      <c r="AH1" t="str">
        <v>KETERANGAN PERMASALAHAN ELEKTRONIKA</v>
      </c>
    </row>
    <row r="2" xml:space="preserve">
      <c r="A2">
        <v>45809</v>
      </c>
      <c r="B2" t="str">
        <v>Region 4</v>
      </c>
      <c r="C2" t="str">
        <v>Juanda Airport Surabaya</v>
      </c>
      <c r="D2" t="str">
        <v>SUB</v>
      </c>
      <c r="E2">
        <v>0.9</v>
      </c>
      <c r="F2">
        <v>1</v>
      </c>
      <c r="G2">
        <v>1</v>
      </c>
      <c r="H2">
        <v>1</v>
      </c>
      <c r="I2">
        <v>0.9955</v>
      </c>
      <c r="J2">
        <v>0.9167</v>
      </c>
      <c r="K2">
        <v>0.9867</v>
      </c>
      <c r="L2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">
        <v>0.987168803574464</v>
      </c>
      <c r="N2">
        <v>0.9609649122807017</v>
      </c>
      <c r="O2">
        <v>1</v>
      </c>
      <c r="P2">
        <v>0.9977678571428572</v>
      </c>
      <c r="Q2">
        <v>1</v>
      </c>
      <c r="R2">
        <v>1</v>
      </c>
      <c r="S2">
        <v>0.9105820105820105</v>
      </c>
      <c r="U2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2">
        <v>1</v>
      </c>
      <c r="W2">
        <v>1</v>
      </c>
      <c r="X2">
        <v>1</v>
      </c>
      <c r="Y2">
        <v>0.667</v>
      </c>
      <c r="Z2">
        <v>0.973</v>
      </c>
      <c r="AA2">
        <v>1</v>
      </c>
      <c r="AB2">
        <v>0.951</v>
      </c>
      <c r="AC2">
        <v>0.935</v>
      </c>
      <c r="AD2">
        <v>1</v>
      </c>
      <c r="AE2">
        <v>1</v>
      </c>
      <c r="AF2">
        <v>0.994</v>
      </c>
      <c r="AG2">
        <v>1</v>
      </c>
      <c r="AH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3" xml:space="preserve">
      <c r="A3">
        <v>45810</v>
      </c>
      <c r="B3" t="str">
        <v>Region 4</v>
      </c>
      <c r="C3" t="str">
        <v>Juanda Airport Surabaya</v>
      </c>
      <c r="D3" t="str">
        <v>SUB</v>
      </c>
      <c r="E3">
        <v>0.9</v>
      </c>
      <c r="F3">
        <v>1</v>
      </c>
      <c r="G3">
        <v>1</v>
      </c>
      <c r="H3">
        <v>1</v>
      </c>
      <c r="I3">
        <v>0.9955</v>
      </c>
      <c r="J3">
        <v>0.9167</v>
      </c>
      <c r="K3">
        <v>0.9867</v>
      </c>
      <c r="L3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3">
        <v>0.987168803574464</v>
      </c>
      <c r="N3">
        <v>0.9609649122807017</v>
      </c>
      <c r="O3">
        <v>1</v>
      </c>
      <c r="P3">
        <v>0.9977678571428572</v>
      </c>
      <c r="Q3">
        <v>1</v>
      </c>
      <c r="R3">
        <v>1</v>
      </c>
      <c r="S3">
        <v>0.9105820105820105</v>
      </c>
      <c r="U3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3">
        <v>1</v>
      </c>
      <c r="W3">
        <v>1</v>
      </c>
      <c r="X3">
        <v>1</v>
      </c>
      <c r="Y3">
        <v>0.667</v>
      </c>
      <c r="Z3">
        <v>0.973</v>
      </c>
      <c r="AA3">
        <v>1</v>
      </c>
      <c r="AB3">
        <v>0.951</v>
      </c>
      <c r="AC3">
        <v>0.935</v>
      </c>
      <c r="AD3">
        <v>1</v>
      </c>
      <c r="AE3">
        <v>1</v>
      </c>
      <c r="AF3">
        <v>0.994</v>
      </c>
      <c r="AG3">
        <v>1</v>
      </c>
      <c r="AH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4" xml:space="preserve">
      <c r="A4">
        <v>45811</v>
      </c>
      <c r="B4" t="str">
        <v>Region 4</v>
      </c>
      <c r="C4" t="str">
        <v>Juanda Airport Surabaya</v>
      </c>
      <c r="D4" t="str">
        <v>SUB</v>
      </c>
      <c r="E4">
        <v>0.9</v>
      </c>
      <c r="F4">
        <v>1</v>
      </c>
      <c r="G4">
        <v>1</v>
      </c>
      <c r="H4">
        <v>1</v>
      </c>
      <c r="I4">
        <v>0.9955</v>
      </c>
      <c r="J4">
        <v>0.9167</v>
      </c>
      <c r="K4">
        <v>0.9867</v>
      </c>
      <c r="L4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4">
        <v>0.987168803574464</v>
      </c>
      <c r="N4">
        <v>0.9609649122807017</v>
      </c>
      <c r="O4">
        <v>1</v>
      </c>
      <c r="P4">
        <v>0.9977678571428572</v>
      </c>
      <c r="Q4">
        <v>1</v>
      </c>
      <c r="R4">
        <v>1</v>
      </c>
      <c r="S4">
        <v>0.9105820105820105</v>
      </c>
      <c r="U4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4">
        <v>1</v>
      </c>
      <c r="W4">
        <v>1</v>
      </c>
      <c r="X4">
        <v>1</v>
      </c>
      <c r="Y4">
        <v>0.667</v>
      </c>
      <c r="Z4">
        <v>0.976</v>
      </c>
      <c r="AA4">
        <v>1</v>
      </c>
      <c r="AB4">
        <v>0.951</v>
      </c>
      <c r="AC4">
        <v>0.935</v>
      </c>
      <c r="AD4">
        <v>1</v>
      </c>
      <c r="AE4">
        <v>1</v>
      </c>
      <c r="AF4">
        <v>0.994</v>
      </c>
      <c r="AG4">
        <v>1</v>
      </c>
      <c r="AH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5" xml:space="preserve">
      <c r="A5">
        <v>45812</v>
      </c>
      <c r="B5" t="str">
        <v>Region 4</v>
      </c>
      <c r="C5" t="str">
        <v>Juanda Airport Surabaya</v>
      </c>
      <c r="D5" t="str">
        <v>SUB</v>
      </c>
      <c r="E5">
        <v>0.9</v>
      </c>
      <c r="F5">
        <v>1</v>
      </c>
      <c r="G5">
        <v>1</v>
      </c>
      <c r="H5">
        <v>1</v>
      </c>
      <c r="I5">
        <v>0.9955</v>
      </c>
      <c r="J5">
        <v>0.9167</v>
      </c>
      <c r="K5">
        <v>0.9867</v>
      </c>
      <c r="L5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5">
        <v>0.987168803574464</v>
      </c>
      <c r="N5">
        <v>0.9609649122807017</v>
      </c>
      <c r="O5">
        <v>1</v>
      </c>
      <c r="P5">
        <v>0.9977678571428572</v>
      </c>
      <c r="Q5">
        <v>0.9981</v>
      </c>
      <c r="R5">
        <v>1</v>
      </c>
      <c r="S5">
        <v>0.9105820105820105</v>
      </c>
      <c r="U5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5">
        <v>1</v>
      </c>
      <c r="W5">
        <v>1</v>
      </c>
      <c r="X5">
        <v>1</v>
      </c>
      <c r="Y5">
        <v>0.667</v>
      </c>
      <c r="Z5">
        <v>0.98</v>
      </c>
      <c r="AA5">
        <v>1</v>
      </c>
      <c r="AB5">
        <v>0.951</v>
      </c>
      <c r="AC5">
        <v>0.935</v>
      </c>
      <c r="AD5">
        <v>1</v>
      </c>
      <c r="AE5">
        <v>1</v>
      </c>
      <c r="AF5">
        <v>0.994</v>
      </c>
      <c r="AG5">
        <v>1</v>
      </c>
      <c r="AH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6" xml:space="preserve">
      <c r="A6">
        <v>45813</v>
      </c>
      <c r="B6" t="str">
        <v>Region 4</v>
      </c>
      <c r="C6" t="str">
        <v>Juanda Airport Surabaya</v>
      </c>
      <c r="D6" t="str">
        <v>SUB</v>
      </c>
      <c r="E6">
        <v>0.9</v>
      </c>
      <c r="F6">
        <v>1</v>
      </c>
      <c r="G6">
        <v>1</v>
      </c>
      <c r="H6">
        <v>1</v>
      </c>
      <c r="I6">
        <v>0.9955</v>
      </c>
      <c r="J6">
        <v>0.9167</v>
      </c>
      <c r="K6">
        <v>0.9867</v>
      </c>
      <c r="L6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6">
        <v>0.987168803574464</v>
      </c>
      <c r="N6">
        <v>0.9609649122807017</v>
      </c>
      <c r="O6">
        <v>1</v>
      </c>
      <c r="P6">
        <v>0.9977678571428572</v>
      </c>
      <c r="Q6">
        <v>0.9981</v>
      </c>
      <c r="R6">
        <v>1</v>
      </c>
      <c r="S6">
        <v>0.9105820105820105</v>
      </c>
      <c r="U6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6">
        <v>1</v>
      </c>
      <c r="W6">
        <v>1</v>
      </c>
      <c r="X6">
        <v>1</v>
      </c>
      <c r="Y6">
        <v>0.667</v>
      </c>
      <c r="Z6">
        <v>0.981</v>
      </c>
      <c r="AA6">
        <v>1</v>
      </c>
      <c r="AB6">
        <v>0.951</v>
      </c>
      <c r="AC6">
        <v>0.935</v>
      </c>
      <c r="AD6">
        <v>1</v>
      </c>
      <c r="AE6">
        <v>1</v>
      </c>
      <c r="AF6">
        <v>0.994</v>
      </c>
      <c r="AG6">
        <v>1</v>
      </c>
      <c r="AH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7" xml:space="preserve">
      <c r="A7">
        <v>45814</v>
      </c>
      <c r="B7" t="str">
        <v>Region 4</v>
      </c>
      <c r="C7" t="str">
        <v>Juanda Airport Surabaya</v>
      </c>
      <c r="D7" t="str">
        <v>SUB</v>
      </c>
      <c r="E7">
        <v>0.9</v>
      </c>
      <c r="F7">
        <v>1</v>
      </c>
      <c r="G7">
        <v>1</v>
      </c>
      <c r="H7">
        <v>1</v>
      </c>
      <c r="I7">
        <v>0.9955</v>
      </c>
      <c r="J7">
        <v>0.9167</v>
      </c>
      <c r="K7">
        <v>0.9867</v>
      </c>
      <c r="L7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7">
        <v>0.987168803574464</v>
      </c>
      <c r="N7">
        <v>0.9609649122807017</v>
      </c>
      <c r="O7">
        <v>1</v>
      </c>
      <c r="P7">
        <v>0.9977678571428572</v>
      </c>
      <c r="Q7">
        <v>0.9981</v>
      </c>
      <c r="R7">
        <v>1</v>
      </c>
      <c r="S7">
        <v>0.9105820105820105</v>
      </c>
      <c r="T7">
        <v>0.9105820105820105</v>
      </c>
      <c r="U7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7">
        <v>1</v>
      </c>
      <c r="W7">
        <v>1</v>
      </c>
      <c r="X7">
        <v>1</v>
      </c>
      <c r="Y7">
        <v>0.667</v>
      </c>
      <c r="Z7">
        <v>0.981</v>
      </c>
      <c r="AA7">
        <v>1</v>
      </c>
      <c r="AB7">
        <v>0.951</v>
      </c>
      <c r="AC7">
        <v>0.935</v>
      </c>
      <c r="AD7">
        <v>1</v>
      </c>
      <c r="AE7">
        <v>1</v>
      </c>
      <c r="AF7">
        <v>0.994</v>
      </c>
      <c r="AG7">
        <v>1</v>
      </c>
      <c r="AH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8" xml:space="preserve">
      <c r="A8">
        <v>45815</v>
      </c>
      <c r="B8" t="str">
        <v>Region 4</v>
      </c>
      <c r="C8" t="str">
        <v>Juanda Airport Surabaya</v>
      </c>
      <c r="D8" t="str">
        <v>SUB</v>
      </c>
      <c r="E8">
        <v>0.9</v>
      </c>
      <c r="F8">
        <v>1</v>
      </c>
      <c r="G8">
        <v>1</v>
      </c>
      <c r="H8">
        <v>1</v>
      </c>
      <c r="I8">
        <v>0.9955</v>
      </c>
      <c r="J8">
        <v>0.9167</v>
      </c>
      <c r="K8">
        <v>0.9867</v>
      </c>
      <c r="L8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8">
        <v>0.987168803574464</v>
      </c>
      <c r="N8">
        <v>0.9609649122807017</v>
      </c>
      <c r="O8">
        <v>1</v>
      </c>
      <c r="P8">
        <v>0.9977678571428572</v>
      </c>
      <c r="Q8">
        <v>0.9981</v>
      </c>
      <c r="R8">
        <v>1</v>
      </c>
      <c r="S8">
        <v>0.9105820105820105</v>
      </c>
      <c r="U8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8">
        <v>1</v>
      </c>
      <c r="W8">
        <v>1</v>
      </c>
      <c r="X8">
        <v>1</v>
      </c>
      <c r="Y8">
        <v>0.667</v>
      </c>
      <c r="Z8">
        <v>0.981</v>
      </c>
      <c r="AA8">
        <v>1</v>
      </c>
      <c r="AB8">
        <v>0.951</v>
      </c>
      <c r="AC8">
        <v>0.935</v>
      </c>
      <c r="AD8">
        <v>1</v>
      </c>
      <c r="AE8">
        <v>1</v>
      </c>
      <c r="AF8">
        <v>0.994</v>
      </c>
      <c r="AG8">
        <v>1</v>
      </c>
      <c r="AH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9" xml:space="preserve">
      <c r="A9">
        <v>45816</v>
      </c>
      <c r="B9" t="str">
        <v>Region 4</v>
      </c>
      <c r="C9" t="str">
        <v>Juanda Airport Surabaya</v>
      </c>
      <c r="D9" t="str">
        <v>SUB</v>
      </c>
      <c r="E9">
        <v>0.9</v>
      </c>
      <c r="F9">
        <v>1</v>
      </c>
      <c r="G9">
        <v>1</v>
      </c>
      <c r="H9">
        <v>1</v>
      </c>
      <c r="I9">
        <v>0.9955</v>
      </c>
      <c r="J9">
        <v>0.9167</v>
      </c>
      <c r="K9">
        <v>0.9867</v>
      </c>
      <c r="L9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9">
        <v>0.987168803574464</v>
      </c>
      <c r="N9">
        <v>0.9609649122807017</v>
      </c>
      <c r="O9">
        <v>1</v>
      </c>
      <c r="P9">
        <v>0.9977678571428572</v>
      </c>
      <c r="Q9">
        <v>0.9981</v>
      </c>
      <c r="R9">
        <v>1</v>
      </c>
      <c r="S9">
        <v>0.9105820105820105</v>
      </c>
      <c r="U9" t="str" xml:space="preserve">
        <v xml:space="preserve">- Chiller No.6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9">
        <v>1</v>
      </c>
      <c r="W9">
        <v>1</v>
      </c>
      <c r="X9">
        <v>1</v>
      </c>
      <c r="Y9">
        <v>0.667</v>
      </c>
      <c r="Z9">
        <v>0.983</v>
      </c>
      <c r="AA9">
        <v>1</v>
      </c>
      <c r="AB9">
        <v>0.951</v>
      </c>
      <c r="AC9">
        <v>0.935</v>
      </c>
      <c r="AD9">
        <v>1</v>
      </c>
      <c r="AE9">
        <v>1</v>
      </c>
      <c r="AF9">
        <v>0.994</v>
      </c>
      <c r="AG9">
        <v>1</v>
      </c>
      <c r="AH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0" xml:space="preserve">
      <c r="A10">
        <v>45817</v>
      </c>
      <c r="B10" t="str">
        <v>Region 4</v>
      </c>
      <c r="C10" t="str">
        <v>Juanda Airport Surabaya</v>
      </c>
      <c r="D10" t="str">
        <v>SUB</v>
      </c>
      <c r="E10">
        <v>0.9</v>
      </c>
      <c r="F10">
        <v>1</v>
      </c>
      <c r="G10">
        <v>1</v>
      </c>
      <c r="H10">
        <v>1</v>
      </c>
      <c r="I10">
        <v>0.9955</v>
      </c>
      <c r="J10">
        <v>0.9167</v>
      </c>
      <c r="K10">
        <v>0.9867</v>
      </c>
      <c r="L10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0">
        <v>0.987168803574464</v>
      </c>
      <c r="N10">
        <v>0.9609649122807017</v>
      </c>
      <c r="O10">
        <v>1</v>
      </c>
      <c r="P10">
        <v>0.9977678571428572</v>
      </c>
      <c r="Q10">
        <v>0.9981</v>
      </c>
      <c r="R10">
        <v>1</v>
      </c>
      <c r="S10">
        <v>0.9105820105820105</v>
      </c>
      <c r="U10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0">
        <v>1</v>
      </c>
      <c r="W10">
        <v>1</v>
      </c>
      <c r="X10">
        <v>1</v>
      </c>
      <c r="Y10">
        <v>0.667</v>
      </c>
      <c r="Z10">
        <v>0.985</v>
      </c>
      <c r="AA10">
        <v>1</v>
      </c>
      <c r="AB10">
        <v>0.951</v>
      </c>
      <c r="AC10">
        <v>0.935</v>
      </c>
      <c r="AD10">
        <v>1</v>
      </c>
      <c r="AE10">
        <v>1</v>
      </c>
      <c r="AF10">
        <v>0.994</v>
      </c>
      <c r="AG10">
        <v>1</v>
      </c>
      <c r="AH1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1" xml:space="preserve">
      <c r="A11">
        <v>45818</v>
      </c>
      <c r="B11" t="str">
        <v>Region 4</v>
      </c>
      <c r="C11" t="str">
        <v>Juanda Airport Surabaya</v>
      </c>
      <c r="D11" t="str">
        <v>SUB</v>
      </c>
      <c r="E11">
        <v>0.9</v>
      </c>
      <c r="F11">
        <v>1</v>
      </c>
      <c r="G11">
        <v>1</v>
      </c>
      <c r="H11">
        <v>1</v>
      </c>
      <c r="I11">
        <v>0.9955</v>
      </c>
      <c r="J11">
        <v>0.9167</v>
      </c>
      <c r="K11">
        <v>0.9867</v>
      </c>
      <c r="L11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1">
        <v>0.987168803574464</v>
      </c>
      <c r="N11">
        <v>0.9609649122807017</v>
      </c>
      <c r="O11">
        <v>1</v>
      </c>
      <c r="P11">
        <v>0.9977678571428572</v>
      </c>
      <c r="Q11">
        <v>0.9981</v>
      </c>
      <c r="R11">
        <v>1</v>
      </c>
      <c r="S11">
        <v>0.9105820105820105</v>
      </c>
      <c r="U11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1">
        <v>1</v>
      </c>
      <c r="W11">
        <v>1</v>
      </c>
      <c r="X11">
        <v>1</v>
      </c>
      <c r="Y11">
        <v>0.667</v>
      </c>
      <c r="Z11">
        <v>0.986</v>
      </c>
      <c r="AA11">
        <v>1</v>
      </c>
      <c r="AB11">
        <v>0.951</v>
      </c>
      <c r="AC11">
        <v>0.935</v>
      </c>
      <c r="AD11">
        <v>1</v>
      </c>
      <c r="AE11">
        <v>1</v>
      </c>
      <c r="AF11">
        <v>0.994</v>
      </c>
      <c r="AG11">
        <v>1</v>
      </c>
      <c r="AH1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2" xml:space="preserve">
      <c r="A12">
        <v>45819</v>
      </c>
      <c r="B12" t="str">
        <v>Region 4</v>
      </c>
      <c r="C12" t="str">
        <v>Juanda Airport Surabaya</v>
      </c>
      <c r="D12" t="str">
        <v>SUB</v>
      </c>
      <c r="E12">
        <v>0.9</v>
      </c>
      <c r="F12">
        <v>1</v>
      </c>
      <c r="G12">
        <v>1</v>
      </c>
      <c r="H12">
        <v>1</v>
      </c>
      <c r="I12">
        <v>0.9955</v>
      </c>
      <c r="J12">
        <v>0.9167</v>
      </c>
      <c r="K12">
        <v>0.9867</v>
      </c>
      <c r="L12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2">
        <v>0.987168803574464</v>
      </c>
      <c r="N12">
        <v>0.9609649122807017</v>
      </c>
      <c r="O12">
        <v>1</v>
      </c>
      <c r="P12">
        <v>0.9977678571428572</v>
      </c>
      <c r="Q12">
        <v>0.9981</v>
      </c>
      <c r="R12">
        <v>1</v>
      </c>
      <c r="S12">
        <v>0.9105820105820105</v>
      </c>
      <c r="U12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2">
        <v>1</v>
      </c>
      <c r="W12">
        <v>1</v>
      </c>
      <c r="X12">
        <v>1</v>
      </c>
      <c r="Y12">
        <v>0.667</v>
      </c>
      <c r="Z12">
        <v>0.986</v>
      </c>
      <c r="AA12">
        <v>1</v>
      </c>
      <c r="AB12">
        <v>0.951</v>
      </c>
      <c r="AC12">
        <v>0.935</v>
      </c>
      <c r="AD12">
        <v>1</v>
      </c>
      <c r="AE12">
        <v>1</v>
      </c>
      <c r="AF12">
        <v>0.994</v>
      </c>
      <c r="AG12">
        <v>1</v>
      </c>
      <c r="AH1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3" xml:space="preserve">
      <c r="A13">
        <v>45820</v>
      </c>
      <c r="B13" t="str">
        <v>Region 4</v>
      </c>
      <c r="C13" t="str">
        <v>Juanda Airport Surabaya</v>
      </c>
      <c r="D13" t="str">
        <v>SUB</v>
      </c>
      <c r="E13">
        <v>0.9</v>
      </c>
      <c r="F13">
        <v>1</v>
      </c>
      <c r="G13">
        <v>1</v>
      </c>
      <c r="H13">
        <v>1</v>
      </c>
      <c r="I13">
        <v>0.9955</v>
      </c>
      <c r="J13">
        <v>0.9167</v>
      </c>
      <c r="K13">
        <v>0.9867</v>
      </c>
      <c r="L13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3">
        <v>0.987168803574464</v>
      </c>
      <c r="N13">
        <v>0.9609649122807017</v>
      </c>
      <c r="O13">
        <v>1</v>
      </c>
      <c r="P13">
        <v>0.9977678571428572</v>
      </c>
      <c r="Q13">
        <v>0.9981</v>
      </c>
      <c r="R13">
        <v>1</v>
      </c>
      <c r="S13">
        <v>0.9105820105820105</v>
      </c>
      <c r="U13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3">
        <v>1</v>
      </c>
      <c r="W13">
        <v>1</v>
      </c>
      <c r="X13">
        <v>1</v>
      </c>
      <c r="Y13">
        <v>0.667</v>
      </c>
      <c r="Z13">
        <v>0.986</v>
      </c>
      <c r="AA13">
        <v>1</v>
      </c>
      <c r="AB13">
        <v>0.951</v>
      </c>
      <c r="AC13">
        <v>0.935</v>
      </c>
      <c r="AD13">
        <v>1</v>
      </c>
      <c r="AE13">
        <v>1</v>
      </c>
      <c r="AF13">
        <v>0.994</v>
      </c>
      <c r="AG13">
        <v>1</v>
      </c>
      <c r="AH1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penggerak._x000d_
Demikian disampaikan. mohon arahan selanjutnya.</v>
      </c>
    </row>
    <row r="14" xml:space="preserve">
      <c r="A14">
        <v>45821</v>
      </c>
      <c r="B14" t="str">
        <v>Region 4</v>
      </c>
      <c r="C14" t="str">
        <v>Juanda Airport Surabaya</v>
      </c>
      <c r="D14" t="str">
        <v>SUB</v>
      </c>
      <c r="E14">
        <v>0.9</v>
      </c>
      <c r="F14">
        <v>1</v>
      </c>
      <c r="G14">
        <v>1</v>
      </c>
      <c r="H14">
        <v>1</v>
      </c>
      <c r="I14">
        <v>0.9955</v>
      </c>
      <c r="J14">
        <v>0.9167</v>
      </c>
      <c r="K14">
        <v>0.9867</v>
      </c>
      <c r="L14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4">
        <v>0.987168803574464</v>
      </c>
      <c r="N14">
        <v>0.9609649122807017</v>
      </c>
      <c r="O14">
        <v>1</v>
      </c>
      <c r="P14">
        <v>0.9977678571428572</v>
      </c>
      <c r="Q14">
        <v>0.9981</v>
      </c>
      <c r="R14">
        <v>1</v>
      </c>
      <c r="S14">
        <v>0.9105820105820105</v>
      </c>
      <c r="U14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4">
        <v>1</v>
      </c>
      <c r="W14">
        <v>1</v>
      </c>
      <c r="X14">
        <v>1</v>
      </c>
      <c r="Y14">
        <v>0.667</v>
      </c>
      <c r="Z14">
        <v>0.986</v>
      </c>
      <c r="AA14">
        <v>1</v>
      </c>
      <c r="AB14">
        <v>0.951</v>
      </c>
      <c r="AC14">
        <v>0.935</v>
      </c>
      <c r="AD14">
        <v>1</v>
      </c>
      <c r="AE14">
        <v>1</v>
      </c>
      <c r="AF14">
        <v>0.994</v>
      </c>
      <c r="AG14">
        <v>1</v>
      </c>
      <c r="AH1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5" xml:space="preserve">
      <c r="A15">
        <v>45822</v>
      </c>
      <c r="B15" t="str">
        <v>Region 4</v>
      </c>
      <c r="C15" t="str">
        <v>Juanda Airport Surabaya</v>
      </c>
      <c r="D15" t="str">
        <v>SUB</v>
      </c>
      <c r="E15">
        <v>0.9</v>
      </c>
      <c r="F15">
        <v>1</v>
      </c>
      <c r="G15">
        <v>1</v>
      </c>
      <c r="H15">
        <v>1</v>
      </c>
      <c r="I15">
        <v>0.9955</v>
      </c>
      <c r="J15">
        <v>0.9167</v>
      </c>
      <c r="K15">
        <v>0.9867</v>
      </c>
      <c r="L15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5">
        <v>0.987168803574464</v>
      </c>
      <c r="N15">
        <v>0.9609649122807017</v>
      </c>
      <c r="O15">
        <v>1</v>
      </c>
      <c r="P15">
        <v>0.9977678571428572</v>
      </c>
      <c r="Q15">
        <v>0.9981</v>
      </c>
      <c r="R15">
        <v>1</v>
      </c>
      <c r="S15">
        <v>0.9105820105820105</v>
      </c>
      <c r="U15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5">
        <v>1</v>
      </c>
      <c r="W15">
        <v>1</v>
      </c>
      <c r="X15">
        <v>1</v>
      </c>
      <c r="Y15">
        <v>0.667</v>
      </c>
      <c r="Z15">
        <v>0.986</v>
      </c>
      <c r="AA15">
        <v>1</v>
      </c>
      <c r="AB15">
        <v>0.951</v>
      </c>
      <c r="AC15">
        <v>0.935</v>
      </c>
      <c r="AD15">
        <v>1</v>
      </c>
      <c r="AE15">
        <v>1</v>
      </c>
      <c r="AF15">
        <v>0.994</v>
      </c>
      <c r="AG15">
        <v>1</v>
      </c>
      <c r="AH1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6" xml:space="preserve">
      <c r="A16">
        <v>45823</v>
      </c>
      <c r="B16" t="str">
        <v>Region 4</v>
      </c>
      <c r="C16" t="str">
        <v>Juanda Airport Surabaya</v>
      </c>
      <c r="D16" t="str">
        <v>SUB</v>
      </c>
      <c r="E16">
        <v>0.9</v>
      </c>
      <c r="F16">
        <v>1</v>
      </c>
      <c r="G16">
        <v>1</v>
      </c>
      <c r="H16">
        <v>1</v>
      </c>
      <c r="I16">
        <v>0.9955</v>
      </c>
      <c r="J16">
        <v>0.9167</v>
      </c>
      <c r="K16">
        <v>0.9867</v>
      </c>
      <c r="L16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6">
        <v>0.987168803574464</v>
      </c>
      <c r="N16">
        <v>0.9609649122807017</v>
      </c>
      <c r="O16">
        <v>1</v>
      </c>
      <c r="P16">
        <v>0.9977678571428572</v>
      </c>
      <c r="Q16">
        <v>0.9981</v>
      </c>
      <c r="R16">
        <v>1</v>
      </c>
      <c r="S16">
        <v>0.9105820105820105</v>
      </c>
      <c r="U16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6">
        <v>1</v>
      </c>
      <c r="W16">
        <v>1</v>
      </c>
      <c r="X16">
        <v>1</v>
      </c>
      <c r="Y16">
        <v>0.667</v>
      </c>
      <c r="Z16">
        <v>0.988</v>
      </c>
      <c r="AA16">
        <v>1</v>
      </c>
      <c r="AB16">
        <v>0.951</v>
      </c>
      <c r="AC16">
        <v>0.935</v>
      </c>
      <c r="AD16">
        <v>1</v>
      </c>
      <c r="AE16">
        <v>1</v>
      </c>
      <c r="AF16">
        <v>0.994</v>
      </c>
      <c r="AG16">
        <v>1</v>
      </c>
      <c r="AH1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7" xml:space="preserve">
      <c r="A17">
        <v>45824</v>
      </c>
      <c r="B17" t="str">
        <v>Region 4</v>
      </c>
      <c r="C17" t="str">
        <v>Juanda Airport Surabaya</v>
      </c>
      <c r="D17" t="str">
        <v>SUB</v>
      </c>
      <c r="E17">
        <v>0.9</v>
      </c>
      <c r="F17">
        <v>1</v>
      </c>
      <c r="G17">
        <v>1</v>
      </c>
      <c r="H17">
        <v>1</v>
      </c>
      <c r="I17">
        <v>0.9955</v>
      </c>
      <c r="J17">
        <v>0.9167</v>
      </c>
      <c r="K17">
        <v>0.9867</v>
      </c>
      <c r="L17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7">
        <v>0.987168803574464</v>
      </c>
      <c r="N17">
        <v>0.9609649122807017</v>
      </c>
      <c r="O17">
        <v>1</v>
      </c>
      <c r="P17">
        <v>0.9977678571428572</v>
      </c>
      <c r="Q17">
        <v>0.9981</v>
      </c>
      <c r="R17">
        <v>1</v>
      </c>
      <c r="S17">
        <v>0.9105820105820105</v>
      </c>
      <c r="U17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7">
        <v>1</v>
      </c>
      <c r="W17">
        <v>1</v>
      </c>
      <c r="X17">
        <v>1</v>
      </c>
      <c r="Y17">
        <v>0.667</v>
      </c>
      <c r="Z17">
        <v>0.989</v>
      </c>
      <c r="AA17">
        <v>1</v>
      </c>
      <c r="AB17">
        <v>0.956</v>
      </c>
      <c r="AC17">
        <v>0.935</v>
      </c>
      <c r="AD17">
        <v>1</v>
      </c>
      <c r="AE17">
        <v>1</v>
      </c>
      <c r="AF17">
        <v>0.994</v>
      </c>
      <c r="AG17">
        <v>1</v>
      </c>
      <c r="AH1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8" xml:space="preserve">
      <c r="A18">
        <v>45825</v>
      </c>
      <c r="B18" t="str">
        <v>Region 4</v>
      </c>
      <c r="C18" t="str">
        <v>Juanda Airport Surabaya</v>
      </c>
      <c r="D18" t="str">
        <v>SUB</v>
      </c>
      <c r="E18">
        <v>0.9</v>
      </c>
      <c r="F18">
        <v>1</v>
      </c>
      <c r="G18">
        <v>1</v>
      </c>
      <c r="H18">
        <v>1</v>
      </c>
      <c r="I18">
        <v>0.9955</v>
      </c>
      <c r="J18">
        <v>0.9167</v>
      </c>
      <c r="K18">
        <v>0.9867</v>
      </c>
      <c r="L18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8">
        <v>0.987168803574464</v>
      </c>
      <c r="N18">
        <v>0.9609649122807017</v>
      </c>
      <c r="O18">
        <v>1</v>
      </c>
      <c r="P18">
        <v>0.9977678571428572</v>
      </c>
      <c r="Q18">
        <v>0.9981</v>
      </c>
      <c r="R18">
        <v>1</v>
      </c>
      <c r="S18">
        <v>0.9105820105820105</v>
      </c>
      <c r="U18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8">
        <v>1</v>
      </c>
      <c r="W18">
        <v>1</v>
      </c>
      <c r="X18">
        <v>1</v>
      </c>
      <c r="Y18">
        <v>0.667</v>
      </c>
      <c r="Z18">
        <v>0.989</v>
      </c>
      <c r="AA18">
        <v>1</v>
      </c>
      <c r="AB18">
        <v>0.956</v>
      </c>
      <c r="AC18">
        <v>0.935</v>
      </c>
      <c r="AD18">
        <v>1</v>
      </c>
      <c r="AE18">
        <v>1</v>
      </c>
      <c r="AF18">
        <v>0.994</v>
      </c>
      <c r="AG18">
        <v>1</v>
      </c>
      <c r="AH1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modul motor pengerak flap. Sedang di mintakan harga penawaran untuk penggantian modul motor penggerak.</v>
      </c>
    </row>
    <row r="19" xml:space="preserve">
      <c r="A19">
        <v>45826</v>
      </c>
      <c r="B19" t="str">
        <v>Region 4</v>
      </c>
      <c r="C19" t="str">
        <v>Juanda Airport Surabaya</v>
      </c>
      <c r="D19" t="str">
        <v>SUB</v>
      </c>
      <c r="E19">
        <v>0.9</v>
      </c>
      <c r="F19">
        <v>1</v>
      </c>
      <c r="G19">
        <v>1</v>
      </c>
      <c r="H19">
        <v>1</v>
      </c>
      <c r="I19">
        <v>0.9955</v>
      </c>
      <c r="J19">
        <v>0.9167</v>
      </c>
      <c r="K19">
        <v>0.9867</v>
      </c>
      <c r="L19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19">
        <v>0.987168803574464</v>
      </c>
      <c r="N19">
        <v>0.9609649122807017</v>
      </c>
      <c r="O19">
        <v>1</v>
      </c>
      <c r="P19">
        <v>0.9977678571428572</v>
      </c>
      <c r="Q19">
        <v>0.9981</v>
      </c>
      <c r="R19">
        <v>1</v>
      </c>
      <c r="S19">
        <v>0.9105820105820105</v>
      </c>
      <c r="U19" t="str" xml:space="preserve">
        <v xml:space="preserve">- Chiller No.2 T2 Circuit 3 kerusakan kontaktor dan rusak modul kontrolnya_x000d_
- Chiller No. 4 T2 kerusakan part sensor discharge tempt. discharge tempt switch. suction tempt sensor. DP. retrovit controle modul &amp; EXV Driver_x000d_
- Chiller No. 4 T1B running abnormal (low press). saat RLA 58% evaporator pressure  30 psi</v>
      </c>
      <c r="V19">
        <v>1</v>
      </c>
      <c r="W19">
        <v>1</v>
      </c>
      <c r="X19">
        <v>1</v>
      </c>
      <c r="Y19">
        <v>0.667</v>
      </c>
      <c r="Z19">
        <v>0.989</v>
      </c>
      <c r="AA19">
        <v>1</v>
      </c>
      <c r="AB19">
        <v>0.956</v>
      </c>
      <c r="AC19">
        <v>0.935</v>
      </c>
      <c r="AD19">
        <v>1</v>
      </c>
      <c r="AE19">
        <v>1</v>
      </c>
      <c r="AF19">
        <v>0.994</v>
      </c>
      <c r="AG19">
        <v>1</v>
      </c>
      <c r="AH1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pada PC control, sedang dilakukan perbaikan.</v>
      </c>
    </row>
    <row r="20" xml:space="preserve">
      <c r="A20">
        <v>45827</v>
      </c>
      <c r="B20" t="str">
        <v>Region 4</v>
      </c>
      <c r="C20" t="str">
        <v>Juanda Airport Surabaya</v>
      </c>
      <c r="D20" t="str">
        <v>SUB</v>
      </c>
      <c r="E20">
        <v>0.9</v>
      </c>
      <c r="F20">
        <v>1</v>
      </c>
      <c r="G20">
        <v>1</v>
      </c>
      <c r="H20">
        <v>1</v>
      </c>
      <c r="I20">
        <v>0.9955</v>
      </c>
      <c r="J20">
        <v>0.9167</v>
      </c>
      <c r="K20">
        <v>0.9867</v>
      </c>
      <c r="L20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0">
        <v>0.9812</v>
      </c>
      <c r="N20">
        <v>0.9609649122807017</v>
      </c>
      <c r="O20">
        <v>1</v>
      </c>
      <c r="P20">
        <v>0.9977678571428572</v>
      </c>
      <c r="Q20">
        <v>0.9981</v>
      </c>
      <c r="R20">
        <v>1</v>
      </c>
      <c r="S20">
        <v>0.9105820105820105</v>
      </c>
      <c r="U2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0">
        <v>1</v>
      </c>
      <c r="W20">
        <v>1</v>
      </c>
      <c r="X20">
        <v>1</v>
      </c>
      <c r="Y20">
        <v>0.667</v>
      </c>
      <c r="Z20">
        <v>0.989</v>
      </c>
      <c r="AA20">
        <v>1</v>
      </c>
      <c r="AB20">
        <v>0.956</v>
      </c>
      <c r="AC20">
        <v>0.935</v>
      </c>
      <c r="AD20">
        <v>1</v>
      </c>
      <c r="AE20">
        <v>1</v>
      </c>
      <c r="AF20">
        <v>0.994</v>
      </c>
      <c r="AG20">
        <v>1</v>
      </c>
      <c r="AH2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Terdapat 1 unit flap barrier di T1 mengalami kerusakan pada PC control, sedang dilakukan perbaikan.</v>
      </c>
    </row>
    <row r="21" xml:space="preserve">
      <c r="A21">
        <v>45828</v>
      </c>
      <c r="B21" t="str">
        <v>Region 4</v>
      </c>
      <c r="C21" t="str">
        <v>Juanda Airport Surabaya</v>
      </c>
      <c r="D21" t="str">
        <v>SUB</v>
      </c>
      <c r="E21">
        <v>0.9</v>
      </c>
      <c r="F21">
        <v>1</v>
      </c>
      <c r="G21">
        <v>1</v>
      </c>
      <c r="H21">
        <v>1</v>
      </c>
      <c r="I21">
        <v>0.9955</v>
      </c>
      <c r="J21">
        <v>0.9167</v>
      </c>
      <c r="K21">
        <v>0.9867</v>
      </c>
      <c r="L21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1">
        <v>0.9812</v>
      </c>
      <c r="N21">
        <v>0.9609649122807017</v>
      </c>
      <c r="O21">
        <v>1</v>
      </c>
      <c r="P21">
        <v>0.9977678571428572</v>
      </c>
      <c r="Q21">
        <v>0.9981</v>
      </c>
      <c r="R21">
        <v>1</v>
      </c>
      <c r="S21">
        <v>0.9105820105820105</v>
      </c>
      <c r="U2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1">
        <v>1</v>
      </c>
      <c r="W21">
        <v>1</v>
      </c>
      <c r="X21">
        <v>1</v>
      </c>
      <c r="Y21">
        <v>0.667</v>
      </c>
      <c r="Z21">
        <v>0.989</v>
      </c>
      <c r="AA21">
        <v>1</v>
      </c>
      <c r="AB21">
        <v>0.956</v>
      </c>
      <c r="AC21">
        <v>0.935</v>
      </c>
      <c r="AD21">
        <v>1</v>
      </c>
      <c r="AE21">
        <v>1</v>
      </c>
      <c r="AF21">
        <v>0.994</v>
      </c>
      <c r="AG21">
        <v>1</v>
      </c>
      <c r="AH2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2" xml:space="preserve">
      <c r="A22">
        <v>45829</v>
      </c>
      <c r="B22" t="str">
        <v>Region 4</v>
      </c>
      <c r="C22" t="str">
        <v>Juanda Airport Surabaya</v>
      </c>
      <c r="D22" t="str">
        <v>SUB</v>
      </c>
      <c r="E22">
        <v>0.9</v>
      </c>
      <c r="F22">
        <v>1</v>
      </c>
      <c r="G22">
        <v>1</v>
      </c>
      <c r="H22">
        <v>1</v>
      </c>
      <c r="I22">
        <v>0.9955</v>
      </c>
      <c r="J22">
        <v>0.9167</v>
      </c>
      <c r="K22">
        <v>0.9867</v>
      </c>
      <c r="L22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2">
        <v>0.9812</v>
      </c>
      <c r="N22">
        <v>0.9609649122807017</v>
      </c>
      <c r="O22">
        <v>1</v>
      </c>
      <c r="P22">
        <v>0.9977678571428572</v>
      </c>
      <c r="Q22">
        <v>0.9981</v>
      </c>
      <c r="R22">
        <v>1</v>
      </c>
      <c r="S22">
        <v>0.9105820105820105</v>
      </c>
      <c r="U2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2">
        <v>1</v>
      </c>
      <c r="W22">
        <v>1</v>
      </c>
      <c r="X22">
        <v>1</v>
      </c>
      <c r="Y22">
        <v>0.667</v>
      </c>
      <c r="Z22">
        <v>0.99</v>
      </c>
      <c r="AA22">
        <v>1</v>
      </c>
      <c r="AB22">
        <v>0.956</v>
      </c>
      <c r="AC22">
        <v>0.935</v>
      </c>
      <c r="AD22">
        <v>1</v>
      </c>
      <c r="AE22">
        <v>1</v>
      </c>
      <c r="AF22">
        <v>0.994</v>
      </c>
      <c r="AG22">
        <v>1</v>
      </c>
      <c r="AH2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3" xml:space="preserve">
      <c r="A23">
        <v>45830</v>
      </c>
      <c r="B23" t="str">
        <v>Region 4</v>
      </c>
      <c r="C23" t="str">
        <v>Juanda Airport Surabaya</v>
      </c>
      <c r="D23" t="str">
        <v>SUB</v>
      </c>
      <c r="E23">
        <v>0.9</v>
      </c>
      <c r="F23">
        <v>1</v>
      </c>
      <c r="G23">
        <v>1</v>
      </c>
      <c r="H23">
        <v>1</v>
      </c>
      <c r="I23">
        <v>0.9955</v>
      </c>
      <c r="J23">
        <v>0.9167</v>
      </c>
      <c r="K23">
        <v>0.9867</v>
      </c>
      <c r="L23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3">
        <v>0.9812</v>
      </c>
      <c r="N23">
        <v>0.9609649122807017</v>
      </c>
      <c r="O23">
        <v>1</v>
      </c>
      <c r="P23">
        <v>0.9977678571428572</v>
      </c>
      <c r="Q23">
        <v>0.9981</v>
      </c>
      <c r="R23">
        <v>1</v>
      </c>
      <c r="S23">
        <v>0.9105820105820105</v>
      </c>
      <c r="U2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3">
        <v>1</v>
      </c>
      <c r="W23">
        <v>1</v>
      </c>
      <c r="X23">
        <v>1</v>
      </c>
      <c r="Y23">
        <v>0.667</v>
      </c>
      <c r="Z23">
        <v>0.99</v>
      </c>
      <c r="AA23">
        <v>1</v>
      </c>
      <c r="AB23">
        <v>0.956</v>
      </c>
      <c r="AC23">
        <v>0.935</v>
      </c>
      <c r="AD23">
        <v>1</v>
      </c>
      <c r="AE23">
        <v>1</v>
      </c>
      <c r="AF23">
        <v>0.994</v>
      </c>
      <c r="AG23">
        <v>1</v>
      </c>
      <c r="AH2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4" xml:space="preserve">
      <c r="A24">
        <v>45831</v>
      </c>
      <c r="B24" t="str">
        <v>Region 4</v>
      </c>
      <c r="C24" t="str">
        <v>Juanda Airport Surabaya</v>
      </c>
      <c r="D24" t="str">
        <v>SUB</v>
      </c>
      <c r="E24">
        <v>0.9</v>
      </c>
      <c r="F24">
        <v>1</v>
      </c>
      <c r="G24">
        <v>1</v>
      </c>
      <c r="H24">
        <v>1</v>
      </c>
      <c r="I24">
        <v>0.9955</v>
      </c>
      <c r="J24">
        <v>0.9167</v>
      </c>
      <c r="K24">
        <v>0.9867</v>
      </c>
      <c r="L24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4">
        <v>0.9812</v>
      </c>
      <c r="N24">
        <v>0.9609649122807017</v>
      </c>
      <c r="O24">
        <v>1</v>
      </c>
      <c r="P24">
        <v>0.9977678571428572</v>
      </c>
      <c r="Q24">
        <v>0.9981</v>
      </c>
      <c r="R24">
        <v>1</v>
      </c>
      <c r="S24">
        <v>0.9105820105820105</v>
      </c>
      <c r="U2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4">
        <v>1</v>
      </c>
      <c r="W24">
        <v>1</v>
      </c>
      <c r="X24">
        <v>1</v>
      </c>
      <c r="Y24">
        <v>0.667</v>
      </c>
      <c r="Z24">
        <v>0.99</v>
      </c>
      <c r="AA24">
        <v>1</v>
      </c>
      <c r="AB24">
        <v>0.956</v>
      </c>
      <c r="AC24">
        <v>0.935</v>
      </c>
      <c r="AD24">
        <v>1</v>
      </c>
      <c r="AE24">
        <v>1</v>
      </c>
      <c r="AF24">
        <v>0.994</v>
      </c>
      <c r="AG24">
        <v>1</v>
      </c>
      <c r="AH2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5" xml:space="preserve">
      <c r="A25">
        <v>45832</v>
      </c>
      <c r="B25" t="str">
        <v>Region 4</v>
      </c>
      <c r="C25" t="str">
        <v>Juanda Airport Surabaya</v>
      </c>
      <c r="D25" t="str">
        <v>SUB</v>
      </c>
      <c r="E25">
        <v>0.899999999999999</v>
      </c>
      <c r="F25">
        <v>1</v>
      </c>
      <c r="G25">
        <v>1</v>
      </c>
      <c r="H25">
        <v>1</v>
      </c>
      <c r="I25">
        <v>0.9955</v>
      </c>
      <c r="J25">
        <v>0.9167</v>
      </c>
      <c r="K25">
        <v>0.9867</v>
      </c>
      <c r="L25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5">
        <v>0.9812</v>
      </c>
      <c r="N25">
        <v>0.9609649122807017</v>
      </c>
      <c r="O25">
        <v>1</v>
      </c>
      <c r="P25">
        <v>0.9977678571428572</v>
      </c>
      <c r="Q25">
        <v>0.9981</v>
      </c>
      <c r="R25">
        <v>1</v>
      </c>
      <c r="S25">
        <v>0.9105820105820105</v>
      </c>
      <c r="U2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5">
        <v>1</v>
      </c>
      <c r="W25">
        <v>1</v>
      </c>
      <c r="X25">
        <v>1</v>
      </c>
      <c r="Y25">
        <v>0.667</v>
      </c>
      <c r="Z25">
        <v>0.99</v>
      </c>
      <c r="AA25">
        <v>1</v>
      </c>
      <c r="AB25">
        <v>0.956</v>
      </c>
      <c r="AC25">
        <v>0.935</v>
      </c>
      <c r="AD25">
        <v>1</v>
      </c>
      <c r="AE25">
        <v>1</v>
      </c>
      <c r="AF25">
        <v>0.994</v>
      </c>
      <c r="AG25">
        <v>1</v>
      </c>
      <c r="AH2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6" xml:space="preserve">
      <c r="A26">
        <v>45833</v>
      </c>
      <c r="B26" t="str">
        <v>Region 4</v>
      </c>
      <c r="C26" t="str">
        <v>Juanda Airport Surabaya</v>
      </c>
      <c r="D26" t="str">
        <v>SUB</v>
      </c>
      <c r="E26">
        <v>0.899999999999999</v>
      </c>
      <c r="F26">
        <v>1</v>
      </c>
      <c r="G26">
        <v>1</v>
      </c>
      <c r="H26">
        <v>1</v>
      </c>
      <c r="I26">
        <v>0.9955</v>
      </c>
      <c r="J26">
        <v>0.9167</v>
      </c>
      <c r="K26">
        <v>0.9867</v>
      </c>
      <c r="L26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6">
        <v>0.9812</v>
      </c>
      <c r="N26">
        <v>0.9609649122807017</v>
      </c>
      <c r="O26">
        <v>1</v>
      </c>
      <c r="P26">
        <v>0.9977678571428572</v>
      </c>
      <c r="Q26">
        <v>0.9981</v>
      </c>
      <c r="R26">
        <v>1</v>
      </c>
      <c r="S26">
        <v>0.9105820105820105</v>
      </c>
      <c r="U2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6">
        <v>1</v>
      </c>
      <c r="W26">
        <v>1</v>
      </c>
      <c r="X26">
        <v>1</v>
      </c>
      <c r="Y26">
        <v>0.667</v>
      </c>
      <c r="Z26">
        <v>0.99</v>
      </c>
      <c r="AA26">
        <v>1</v>
      </c>
      <c r="AB26">
        <v>0.956</v>
      </c>
      <c r="AC26">
        <v>0.935</v>
      </c>
      <c r="AD26">
        <v>1</v>
      </c>
      <c r="AE26">
        <v>1</v>
      </c>
      <c r="AF26">
        <v>0.994</v>
      </c>
      <c r="AG26">
        <v>1</v>
      </c>
      <c r="AH2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7" xml:space="preserve">
      <c r="A27">
        <v>45834</v>
      </c>
      <c r="B27" t="str">
        <v>Region 4</v>
      </c>
      <c r="C27" t="str">
        <v>Juanda Airport Surabaya</v>
      </c>
      <c r="D27" t="str">
        <v>SUB</v>
      </c>
      <c r="E27">
        <v>0.899999999999999</v>
      </c>
      <c r="F27">
        <v>1</v>
      </c>
      <c r="G27">
        <v>1</v>
      </c>
      <c r="H27">
        <v>1</v>
      </c>
      <c r="I27">
        <v>0.9955</v>
      </c>
      <c r="J27">
        <v>0.9167</v>
      </c>
      <c r="K27">
        <v>0.9867</v>
      </c>
      <c r="L27" t="str" xml:space="preserve">
        <v xml:space="preserve">1. Transformator T-07 di MPh rusak dan dalam proses pelaksanaan pekerjaan Investasi Pengadaan dan Penggantian Transformator T-07_x000d_
2. UPS T1B no.1 kondisi off karena kerusakan pada battery_x000d_
3. UPS T1A no.2 kondisi off karena kerusakan pada battery</v>
      </c>
      <c r="M27">
        <v>0.9812</v>
      </c>
      <c r="N27">
        <v>0.9609649122807017</v>
      </c>
      <c r="O27">
        <v>1</v>
      </c>
      <c r="P27">
        <v>0.9977678571428572</v>
      </c>
      <c r="Q27">
        <v>0.9981</v>
      </c>
      <c r="R27">
        <v>1</v>
      </c>
      <c r="S27">
        <v>0.9105820105820105</v>
      </c>
      <c r="U2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7">
        <v>1</v>
      </c>
      <c r="W27">
        <v>1</v>
      </c>
      <c r="X27">
        <v>1</v>
      </c>
      <c r="Y27">
        <v>0.667</v>
      </c>
      <c r="Z27">
        <v>0.99</v>
      </c>
      <c r="AA27">
        <v>1</v>
      </c>
      <c r="AB27">
        <v>0.956</v>
      </c>
      <c r="AC27">
        <v>0.935</v>
      </c>
      <c r="AD27">
        <v>1</v>
      </c>
      <c r="AE27">
        <v>1</v>
      </c>
      <c r="AF27">
        <v>0.994</v>
      </c>
      <c r="AG27">
        <v>1</v>
      </c>
      <c r="AH2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8" xml:space="preserve">
      <c r="A28">
        <v>45835</v>
      </c>
      <c r="B28" t="str">
        <v>Region 4</v>
      </c>
      <c r="C28" t="str">
        <v>Juanda Airport Surabaya</v>
      </c>
      <c r="D28" t="str">
        <v>SUB</v>
      </c>
      <c r="E28">
        <v>0.899999999999999</v>
      </c>
      <c r="F28">
        <v>1</v>
      </c>
      <c r="G28">
        <v>1</v>
      </c>
      <c r="H28">
        <v>1</v>
      </c>
      <c r="I28">
        <v>0.9955</v>
      </c>
      <c r="J28" t="str">
        <v>95,83%</v>
      </c>
      <c r="K28">
        <v>0.9867</v>
      </c>
      <c r="L28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28">
        <v>0.9812</v>
      </c>
      <c r="N28">
        <v>0.9609649122807017</v>
      </c>
      <c r="O28">
        <v>1</v>
      </c>
      <c r="P28">
        <v>0.9977678571428572</v>
      </c>
      <c r="Q28">
        <v>0.9981</v>
      </c>
      <c r="R28">
        <v>1</v>
      </c>
      <c r="S28">
        <v>0.9105820105820105</v>
      </c>
      <c r="U2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8">
        <v>1</v>
      </c>
      <c r="W28">
        <v>1</v>
      </c>
      <c r="X28">
        <v>1</v>
      </c>
      <c r="Y28">
        <v>0.667</v>
      </c>
      <c r="Z28">
        <v>0.986</v>
      </c>
      <c r="AA28">
        <v>1</v>
      </c>
      <c r="AB28">
        <v>0.956</v>
      </c>
      <c r="AC28">
        <v>0.935</v>
      </c>
      <c r="AD28">
        <v>1</v>
      </c>
      <c r="AE28">
        <v>1</v>
      </c>
      <c r="AF28">
        <v>0.994</v>
      </c>
      <c r="AG28">
        <v>1</v>
      </c>
      <c r="AH2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29" xml:space="preserve">
      <c r="A29">
        <v>45836</v>
      </c>
      <c r="B29" t="str">
        <v>Region 4</v>
      </c>
      <c r="C29" t="str">
        <v>Juanda Airport Surabaya</v>
      </c>
      <c r="D29" t="str">
        <v>SUB</v>
      </c>
      <c r="E29">
        <v>0.899999999999999</v>
      </c>
      <c r="F29">
        <v>1</v>
      </c>
      <c r="G29">
        <v>1</v>
      </c>
      <c r="H29">
        <v>1</v>
      </c>
      <c r="I29">
        <v>0.9955</v>
      </c>
      <c r="J29" t="str">
        <v>95,83%</v>
      </c>
      <c r="K29">
        <v>0.9867</v>
      </c>
      <c r="L29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29">
        <v>0.9812</v>
      </c>
      <c r="N29">
        <v>0.9609649122807017</v>
      </c>
      <c r="O29">
        <v>1</v>
      </c>
      <c r="P29">
        <v>0.9977678571428572</v>
      </c>
      <c r="Q29">
        <v>0.9981</v>
      </c>
      <c r="R29">
        <v>1</v>
      </c>
      <c r="S29">
        <v>0.9105820105820105</v>
      </c>
      <c r="U2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29">
        <v>1</v>
      </c>
      <c r="W29">
        <v>1</v>
      </c>
      <c r="X29">
        <v>1</v>
      </c>
      <c r="Y29">
        <v>0.667</v>
      </c>
      <c r="Z29">
        <v>0.986</v>
      </c>
      <c r="AA29">
        <v>1</v>
      </c>
      <c r="AB29">
        <v>0.956</v>
      </c>
      <c r="AC29">
        <v>0.935</v>
      </c>
      <c r="AD29">
        <v>1</v>
      </c>
      <c r="AE29">
        <v>1</v>
      </c>
      <c r="AF29">
        <v>0.994</v>
      </c>
      <c r="AG29">
        <v>1</v>
      </c>
      <c r="AH2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0" xml:space="preserve">
      <c r="A30">
        <v>45837</v>
      </c>
      <c r="B30" t="str">
        <v>Region 4</v>
      </c>
      <c r="C30" t="str">
        <v>Juanda Airport Surabaya</v>
      </c>
      <c r="D30" t="str">
        <v>SUB</v>
      </c>
      <c r="E30">
        <v>0.899999999999999</v>
      </c>
      <c r="F30">
        <v>1</v>
      </c>
      <c r="G30">
        <v>1</v>
      </c>
      <c r="H30">
        <v>1</v>
      </c>
      <c r="I30">
        <v>0.9955</v>
      </c>
      <c r="J30" t="str">
        <v>95,83%</v>
      </c>
      <c r="K30">
        <v>0.9867</v>
      </c>
      <c r="L30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0">
        <v>0.9812</v>
      </c>
      <c r="N30">
        <v>0.9609649122807017</v>
      </c>
      <c r="O30">
        <v>1</v>
      </c>
      <c r="P30">
        <v>0.9977678571428572</v>
      </c>
      <c r="Q30">
        <v>0.9981</v>
      </c>
      <c r="R30">
        <v>1</v>
      </c>
      <c r="S30">
        <v>0.9105820105820105</v>
      </c>
      <c r="U3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0">
        <v>1</v>
      </c>
      <c r="W30">
        <v>1</v>
      </c>
      <c r="X30">
        <v>1</v>
      </c>
      <c r="Y30">
        <v>0.667</v>
      </c>
      <c r="Z30">
        <v>0.986</v>
      </c>
      <c r="AA30">
        <v>1</v>
      </c>
      <c r="AB30">
        <v>0.956</v>
      </c>
      <c r="AC30">
        <v>0.935</v>
      </c>
      <c r="AD30">
        <v>1</v>
      </c>
      <c r="AE30">
        <v>1</v>
      </c>
      <c r="AF30">
        <v>0.994</v>
      </c>
      <c r="AG30">
        <v>1</v>
      </c>
      <c r="AH3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1" xml:space="preserve">
      <c r="A31">
        <v>45838</v>
      </c>
      <c r="B31" t="str">
        <v>Region 4</v>
      </c>
      <c r="C31" t="str">
        <v>Juanda Airport Surabaya</v>
      </c>
      <c r="D31" t="str">
        <v>SUB</v>
      </c>
      <c r="E31">
        <v>0.899999999999999</v>
      </c>
      <c r="F31">
        <v>1</v>
      </c>
      <c r="G31">
        <v>1</v>
      </c>
      <c r="H31">
        <v>1</v>
      </c>
      <c r="I31">
        <v>0.9955</v>
      </c>
      <c r="J31" t="str">
        <v>95,83%</v>
      </c>
      <c r="K31">
        <v>0.9867</v>
      </c>
      <c r="L31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1">
        <v>0.9812</v>
      </c>
      <c r="N31">
        <v>0.9609649122807017</v>
      </c>
      <c r="O31">
        <v>1</v>
      </c>
      <c r="P31">
        <v>0.9977678571428572</v>
      </c>
      <c r="Q31">
        <v>0.9981</v>
      </c>
      <c r="R31">
        <v>1</v>
      </c>
      <c r="S31">
        <v>0.9105820105820105</v>
      </c>
      <c r="U3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1">
        <v>1</v>
      </c>
      <c r="W31">
        <v>1</v>
      </c>
      <c r="X31">
        <v>1</v>
      </c>
      <c r="Y31">
        <v>0.667</v>
      </c>
      <c r="Z31">
        <v>0.986</v>
      </c>
      <c r="AA31">
        <v>1</v>
      </c>
      <c r="AB31">
        <v>0.956</v>
      </c>
      <c r="AC31">
        <v>0.935</v>
      </c>
      <c r="AD31">
        <v>1</v>
      </c>
      <c r="AE31">
        <v>1</v>
      </c>
      <c r="AF31">
        <v>0.994</v>
      </c>
      <c r="AG31">
        <v>1</v>
      </c>
      <c r="AH3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(pengadaan tahun 2017).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2" xml:space="preserve">
      <c r="A32">
        <v>45839</v>
      </c>
      <c r="B32" t="str">
        <v>Region 4</v>
      </c>
      <c r="C32" t="str">
        <v>Juanda Airport Surabaya</v>
      </c>
      <c r="D32" t="str">
        <v>SUB</v>
      </c>
      <c r="E32">
        <v>0.9</v>
      </c>
      <c r="F32">
        <v>1</v>
      </c>
      <c r="G32">
        <v>1</v>
      </c>
      <c r="H32">
        <v>1</v>
      </c>
      <c r="I32">
        <v>0.9955</v>
      </c>
      <c r="J32" t="str">
        <v>95,83%</v>
      </c>
      <c r="K32">
        <v>0.9867</v>
      </c>
      <c r="L32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2">
        <v>0.9812</v>
      </c>
      <c r="N32">
        <v>0.9609649122807017</v>
      </c>
      <c r="O32">
        <v>1</v>
      </c>
      <c r="P32">
        <v>0.9977678571428572</v>
      </c>
      <c r="Q32">
        <v>0.9981</v>
      </c>
      <c r="R32">
        <v>1</v>
      </c>
      <c r="S32">
        <v>0.9105820105820105</v>
      </c>
      <c r="U3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2">
        <v>1</v>
      </c>
      <c r="W32">
        <v>1</v>
      </c>
      <c r="X32">
        <v>1</v>
      </c>
      <c r="Y32">
        <f>1/3</f>
        <v>0.3333333333333333</v>
      </c>
      <c r="Z32">
        <v>0.986</v>
      </c>
      <c r="AA32">
        <v>1</v>
      </c>
      <c r="AB32">
        <v>0.956</v>
      </c>
      <c r="AC32">
        <v>0.935</v>
      </c>
      <c r="AD32">
        <v>1</v>
      </c>
      <c r="AE32">
        <v>1</v>
      </c>
      <c r="AF32">
        <v>0.994</v>
      </c>
      <c r="AG32">
        <v>1</v>
      </c>
      <c r="AH3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3" xml:space="preserve">
      <c r="A33">
        <v>45840</v>
      </c>
      <c r="B33" t="str">
        <v>Region 4</v>
      </c>
      <c r="C33" t="str">
        <v>Juanda Airport Surabaya</v>
      </c>
      <c r="D33" t="str">
        <v>SUB</v>
      </c>
      <c r="E33">
        <v>0.9</v>
      </c>
      <c r="F33">
        <v>1</v>
      </c>
      <c r="G33">
        <v>1</v>
      </c>
      <c r="H33">
        <v>1</v>
      </c>
      <c r="I33">
        <v>0.9955</v>
      </c>
      <c r="J33" t="str">
        <v>95,83%</v>
      </c>
      <c r="K33">
        <v>0.9867</v>
      </c>
      <c r="L33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3">
        <v>0.9812</v>
      </c>
      <c r="N33">
        <v>0.9609649122807017</v>
      </c>
      <c r="O33">
        <v>1</v>
      </c>
      <c r="P33">
        <v>0.9977678571428572</v>
      </c>
      <c r="Q33">
        <v>0.9981</v>
      </c>
      <c r="R33">
        <v>1</v>
      </c>
      <c r="S33">
        <v>0.9105820105820105</v>
      </c>
      <c r="U3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3">
        <v>1</v>
      </c>
      <c r="W33">
        <v>1</v>
      </c>
      <c r="X33">
        <v>1</v>
      </c>
      <c r="Y33">
        <f>1/3</f>
        <v>0.3333333333333333</v>
      </c>
      <c r="Z33">
        <v>0.986</v>
      </c>
      <c r="AA33">
        <v>1</v>
      </c>
      <c r="AB33">
        <v>0.956</v>
      </c>
      <c r="AC33">
        <v>0.935</v>
      </c>
      <c r="AD33">
        <v>1</v>
      </c>
      <c r="AE33">
        <v>1</v>
      </c>
      <c r="AF33">
        <v>0.994</v>
      </c>
      <c r="AG33">
        <v>1</v>
      </c>
      <c r="AH3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4" xml:space="preserve">
      <c r="A34">
        <v>45841</v>
      </c>
      <c r="B34" t="str">
        <v>Region 4</v>
      </c>
      <c r="C34" t="str">
        <v>Juanda Airport Surabaya</v>
      </c>
      <c r="D34" t="str">
        <v>SUB</v>
      </c>
      <c r="E34">
        <v>0.9</v>
      </c>
      <c r="F34">
        <v>1</v>
      </c>
      <c r="G34">
        <v>1</v>
      </c>
      <c r="H34">
        <v>1</v>
      </c>
      <c r="I34">
        <v>0.9955</v>
      </c>
      <c r="J34" t="str">
        <v>95,83%</v>
      </c>
      <c r="K34">
        <v>0.9867</v>
      </c>
      <c r="L34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4">
        <v>0.9812</v>
      </c>
      <c r="N34">
        <v>0.9609649122807017</v>
      </c>
      <c r="O34">
        <v>1</v>
      </c>
      <c r="P34">
        <v>0.9977678571428572</v>
      </c>
      <c r="Q34">
        <v>0.9981</v>
      </c>
      <c r="R34">
        <v>1</v>
      </c>
      <c r="S34">
        <v>0.9105820105820105</v>
      </c>
      <c r="U3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4">
        <v>1</v>
      </c>
      <c r="W34">
        <v>1</v>
      </c>
      <c r="X34">
        <v>1</v>
      </c>
      <c r="Y34">
        <f>1/3</f>
        <v>0.3333333333333333</v>
      </c>
      <c r="Z34">
        <v>0.989</v>
      </c>
      <c r="AA34">
        <v>1</v>
      </c>
      <c r="AB34">
        <v>0.956</v>
      </c>
      <c r="AC34">
        <v>0.935</v>
      </c>
      <c r="AD34">
        <v>1</v>
      </c>
      <c r="AE34">
        <v>1</v>
      </c>
      <c r="AF34">
        <v>0.994</v>
      </c>
      <c r="AG34">
        <v>1</v>
      </c>
      <c r="AH3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5" xml:space="preserve">
      <c r="A35">
        <v>45842</v>
      </c>
      <c r="B35" t="str">
        <v>Region 4</v>
      </c>
      <c r="C35" t="str">
        <v>Juanda Airport Surabaya</v>
      </c>
      <c r="D35" t="str">
        <v>SUB</v>
      </c>
      <c r="E35">
        <v>0.9</v>
      </c>
      <c r="F35">
        <v>1</v>
      </c>
      <c r="G35">
        <v>1</v>
      </c>
      <c r="H35">
        <v>1</v>
      </c>
      <c r="I35">
        <v>0.9955</v>
      </c>
      <c r="J35" t="str">
        <v>95,83%</v>
      </c>
      <c r="K35">
        <v>0.9867</v>
      </c>
      <c r="L35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5">
        <v>0.9812</v>
      </c>
      <c r="N35">
        <v>0.9609649122807017</v>
      </c>
      <c r="O35">
        <v>1</v>
      </c>
      <c r="P35">
        <v>0.9977678571428572</v>
      </c>
      <c r="Q35">
        <v>0.9981</v>
      </c>
      <c r="R35">
        <v>1</v>
      </c>
      <c r="S35">
        <v>0.9105820105820105</v>
      </c>
      <c r="U3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5">
        <v>1</v>
      </c>
      <c r="W35">
        <v>1</v>
      </c>
      <c r="X35">
        <v>1</v>
      </c>
      <c r="Y35">
        <f>1/3</f>
        <v>0.3333333333333333</v>
      </c>
      <c r="Z35">
        <v>0.989</v>
      </c>
      <c r="AA35">
        <v>1</v>
      </c>
      <c r="AB35">
        <v>0.956</v>
      </c>
      <c r="AC35">
        <v>0.935</v>
      </c>
      <c r="AD35">
        <v>1</v>
      </c>
      <c r="AE35">
        <v>1</v>
      </c>
      <c r="AF35">
        <v>0.994</v>
      </c>
      <c r="AG35">
        <v>1</v>
      </c>
      <c r="AH3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6" xml:space="preserve">
      <c r="A36">
        <v>45843</v>
      </c>
      <c r="B36" t="str">
        <v>Region 4</v>
      </c>
      <c r="C36" t="str">
        <v>Juanda Airport Surabaya</v>
      </c>
      <c r="D36" t="str">
        <v>SUB</v>
      </c>
      <c r="E36">
        <v>0.9</v>
      </c>
      <c r="F36">
        <v>1</v>
      </c>
      <c r="G36">
        <v>1</v>
      </c>
      <c r="H36">
        <v>1</v>
      </c>
      <c r="I36">
        <v>0.9955</v>
      </c>
      <c r="J36" t="str">
        <v>95,83%</v>
      </c>
      <c r="K36">
        <v>0.9867</v>
      </c>
      <c r="L36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6">
        <v>0.9812</v>
      </c>
      <c r="N36">
        <v>0.9609649122807017</v>
      </c>
      <c r="O36">
        <v>1</v>
      </c>
      <c r="P36">
        <v>0.9977678571428572</v>
      </c>
      <c r="Q36">
        <v>0.9981</v>
      </c>
      <c r="R36">
        <v>1</v>
      </c>
      <c r="S36">
        <v>0.9105820105820105</v>
      </c>
      <c r="U3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6">
        <v>1</v>
      </c>
      <c r="W36">
        <v>1</v>
      </c>
      <c r="X36">
        <v>1</v>
      </c>
      <c r="Y36">
        <f>1/3</f>
        <v>0.3333333333333333</v>
      </c>
      <c r="Z36">
        <v>0.989</v>
      </c>
      <c r="AA36">
        <v>1</v>
      </c>
      <c r="AB36">
        <v>0.956</v>
      </c>
      <c r="AC36">
        <v>0.935</v>
      </c>
      <c r="AD36">
        <v>1</v>
      </c>
      <c r="AE36">
        <v>1</v>
      </c>
      <c r="AF36">
        <v>0.994</v>
      </c>
      <c r="AG36">
        <v>1</v>
      </c>
      <c r="AH3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7" xml:space="preserve">
      <c r="A37">
        <v>45844</v>
      </c>
      <c r="B37" t="str">
        <v>Region 4</v>
      </c>
      <c r="C37" t="str">
        <v>Juanda Airport Surabaya</v>
      </c>
      <c r="D37" t="str">
        <v>SUB</v>
      </c>
      <c r="E37">
        <v>0.9</v>
      </c>
      <c r="F37">
        <v>1</v>
      </c>
      <c r="G37">
        <v>1</v>
      </c>
      <c r="H37">
        <v>1</v>
      </c>
      <c r="I37">
        <v>0.9955</v>
      </c>
      <c r="J37" t="str">
        <v>95,83%</v>
      </c>
      <c r="K37">
        <v>0.9867</v>
      </c>
      <c r="L37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7">
        <v>0.9812</v>
      </c>
      <c r="N37">
        <v>0.9609649122807017</v>
      </c>
      <c r="O37">
        <v>1</v>
      </c>
      <c r="P37">
        <v>0.9977678571428572</v>
      </c>
      <c r="Q37">
        <v>0.9981</v>
      </c>
      <c r="R37">
        <v>1</v>
      </c>
      <c r="S37">
        <v>0.9105820105820105</v>
      </c>
      <c r="U3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7">
        <v>1</v>
      </c>
      <c r="W37">
        <v>1</v>
      </c>
      <c r="X37">
        <v>1</v>
      </c>
      <c r="Y37">
        <f>1/3</f>
        <v>0.3333333333333333</v>
      </c>
      <c r="Z37">
        <v>0.989</v>
      </c>
      <c r="AA37">
        <v>1</v>
      </c>
      <c r="AB37">
        <v>0.956</v>
      </c>
      <c r="AC37">
        <v>0.935</v>
      </c>
      <c r="AD37">
        <v>1</v>
      </c>
      <c r="AE37">
        <v>1</v>
      </c>
      <c r="AF37">
        <v>0.994</v>
      </c>
      <c r="AG37">
        <v>1</v>
      </c>
      <c r="AH3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8" xml:space="preserve">
      <c r="A38">
        <v>45845</v>
      </c>
      <c r="B38" t="str">
        <v>Region 4</v>
      </c>
      <c r="C38" t="str">
        <v>Juanda Airport Surabaya</v>
      </c>
      <c r="D38" t="str">
        <v>SUB</v>
      </c>
      <c r="E38">
        <v>0.9</v>
      </c>
      <c r="F38">
        <v>1</v>
      </c>
      <c r="G38">
        <v>1</v>
      </c>
      <c r="H38">
        <v>1</v>
      </c>
      <c r="I38">
        <v>0.9955</v>
      </c>
      <c r="J38" t="str">
        <v>95,83%</v>
      </c>
      <c r="K38">
        <v>0.9867</v>
      </c>
      <c r="L38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8">
        <v>0.9812</v>
      </c>
      <c r="N38">
        <v>0.9609649122807017</v>
      </c>
      <c r="O38">
        <v>1</v>
      </c>
      <c r="P38">
        <v>0.9977678571428572</v>
      </c>
      <c r="Q38">
        <v>0.9981</v>
      </c>
      <c r="R38">
        <v>1</v>
      </c>
      <c r="S38">
        <v>0.9105820105820105</v>
      </c>
      <c r="U3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8">
        <v>1</v>
      </c>
      <c r="W38">
        <v>1</v>
      </c>
      <c r="X38">
        <v>1</v>
      </c>
      <c r="Y38">
        <f>1/3</f>
        <v>0.3333333333333333</v>
      </c>
      <c r="Z38">
        <v>0.989</v>
      </c>
      <c r="AA38">
        <v>1</v>
      </c>
      <c r="AB38">
        <v>0.956</v>
      </c>
      <c r="AC38">
        <v>0.935</v>
      </c>
      <c r="AD38">
        <v>1</v>
      </c>
      <c r="AE38">
        <v>1</v>
      </c>
      <c r="AF38">
        <v>0.994</v>
      </c>
      <c r="AG38">
        <v>1</v>
      </c>
      <c r="AH3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39" xml:space="preserve">
      <c r="A39">
        <v>45846</v>
      </c>
      <c r="B39" t="str">
        <v>Region 4</v>
      </c>
      <c r="C39" t="str">
        <v>Juanda Airport Surabaya</v>
      </c>
      <c r="D39" t="str">
        <v>SUB</v>
      </c>
      <c r="E39">
        <v>0.9</v>
      </c>
      <c r="F39">
        <v>1</v>
      </c>
      <c r="G39">
        <v>1</v>
      </c>
      <c r="H39">
        <v>1</v>
      </c>
      <c r="I39">
        <v>0.9955</v>
      </c>
      <c r="J39" t="str">
        <v>95,83%</v>
      </c>
      <c r="K39">
        <v>0.9867</v>
      </c>
      <c r="L39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39">
        <v>0.9812</v>
      </c>
      <c r="N39">
        <v>0.9609649122807017</v>
      </c>
      <c r="O39">
        <v>1</v>
      </c>
      <c r="P39">
        <v>0.9977678571428572</v>
      </c>
      <c r="Q39">
        <v>0.9981</v>
      </c>
      <c r="R39">
        <v>1</v>
      </c>
      <c r="S39">
        <v>0.9105820105820105</v>
      </c>
      <c r="U3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39">
        <v>1</v>
      </c>
      <c r="W39">
        <v>1</v>
      </c>
      <c r="X39">
        <v>1</v>
      </c>
      <c r="Y39">
        <f>1/3</f>
        <v>0.3333333333333333</v>
      </c>
      <c r="Z39">
        <v>0.989</v>
      </c>
      <c r="AA39">
        <v>1</v>
      </c>
      <c r="AB39">
        <v>0.956</v>
      </c>
      <c r="AC39">
        <v>0.935</v>
      </c>
      <c r="AD39">
        <v>1</v>
      </c>
      <c r="AE39">
        <v>1</v>
      </c>
      <c r="AF39">
        <v>0.994</v>
      </c>
      <c r="AG39">
        <v>1</v>
      </c>
      <c r="AH3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0" xml:space="preserve">
      <c r="A40">
        <v>45847</v>
      </c>
      <c r="B40" t="str">
        <v>Region 4</v>
      </c>
      <c r="C40" t="str">
        <v>Juanda Airport Surabaya</v>
      </c>
      <c r="D40" t="str">
        <v>SUB</v>
      </c>
      <c r="E40">
        <v>0.9</v>
      </c>
      <c r="F40">
        <v>1</v>
      </c>
      <c r="G40">
        <v>1</v>
      </c>
      <c r="H40">
        <v>1</v>
      </c>
      <c r="I40">
        <v>0.9955</v>
      </c>
      <c r="J40" t="str">
        <v>95,83%</v>
      </c>
      <c r="K40">
        <v>0.9867</v>
      </c>
      <c r="L40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0">
        <v>0.9812</v>
      </c>
      <c r="N40">
        <v>0.9609649122807017</v>
      </c>
      <c r="O40">
        <v>1</v>
      </c>
      <c r="P40">
        <v>0.9977678571428572</v>
      </c>
      <c r="Q40">
        <v>0.9981</v>
      </c>
      <c r="R40">
        <v>1</v>
      </c>
      <c r="S40">
        <v>0.9105820105820105</v>
      </c>
      <c r="U4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0">
        <v>1</v>
      </c>
      <c r="W40">
        <v>1</v>
      </c>
      <c r="X40">
        <v>1</v>
      </c>
      <c r="Y40">
        <f>1/3</f>
        <v>0.3333333333333333</v>
      </c>
      <c r="Z40">
        <v>0.989</v>
      </c>
      <c r="AA40">
        <v>1</v>
      </c>
      <c r="AB40">
        <v>0.956</v>
      </c>
      <c r="AC40">
        <v>0.935</v>
      </c>
      <c r="AD40">
        <v>1</v>
      </c>
      <c r="AE40">
        <v>1</v>
      </c>
      <c r="AF40">
        <v>0.994</v>
      </c>
      <c r="AG40">
        <v>1</v>
      </c>
      <c r="AH4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1" xml:space="preserve">
      <c r="A41">
        <v>45848</v>
      </c>
      <c r="B41" t="str">
        <v>Region 4</v>
      </c>
      <c r="C41" t="str">
        <v>Juanda Airport Surabaya</v>
      </c>
      <c r="D41" t="str">
        <v>SUB</v>
      </c>
      <c r="E41">
        <v>0.9</v>
      </c>
      <c r="F41">
        <v>1</v>
      </c>
      <c r="G41">
        <v>1</v>
      </c>
      <c r="H41">
        <v>1</v>
      </c>
      <c r="I41">
        <v>0.9955</v>
      </c>
      <c r="J41" t="str">
        <v>95,83%</v>
      </c>
      <c r="K41">
        <v>0.9867</v>
      </c>
      <c r="L41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1">
        <v>0.9812</v>
      </c>
      <c r="N41">
        <v>0.9609649122807017</v>
      </c>
      <c r="O41">
        <v>1</v>
      </c>
      <c r="P41">
        <v>0.9977678571428572</v>
      </c>
      <c r="Q41">
        <v>0.9981</v>
      </c>
      <c r="R41">
        <v>1</v>
      </c>
      <c r="S41">
        <v>0.9105820105820105</v>
      </c>
      <c r="U4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1">
        <v>1</v>
      </c>
      <c r="W41">
        <v>1</v>
      </c>
      <c r="X41">
        <v>1</v>
      </c>
      <c r="Y41">
        <f>1/3</f>
        <v>0.3333333333333333</v>
      </c>
      <c r="Z41">
        <v>0.989</v>
      </c>
      <c r="AA41">
        <v>1</v>
      </c>
      <c r="AB41">
        <v>0.956</v>
      </c>
      <c r="AC41">
        <v>0.935</v>
      </c>
      <c r="AD41">
        <v>1</v>
      </c>
      <c r="AE41">
        <v>1</v>
      </c>
      <c r="AF41">
        <v>0.994</v>
      </c>
      <c r="AG41">
        <v>1</v>
      </c>
      <c r="AH4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2" xml:space="preserve">
      <c r="A42">
        <v>45849</v>
      </c>
      <c r="B42" t="str">
        <v>Region 4</v>
      </c>
      <c r="C42" t="str">
        <v>Juanda Airport Surabaya</v>
      </c>
      <c r="D42" t="str">
        <v>SUB</v>
      </c>
      <c r="E42">
        <v>0.9</v>
      </c>
      <c r="F42">
        <v>1</v>
      </c>
      <c r="G42">
        <v>1</v>
      </c>
      <c r="H42">
        <v>1</v>
      </c>
      <c r="I42">
        <v>0.9955</v>
      </c>
      <c r="J42" t="str">
        <v>95,83%</v>
      </c>
      <c r="K42">
        <v>0.9867</v>
      </c>
      <c r="L42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2">
        <v>0.9812</v>
      </c>
      <c r="N42">
        <v>0.9609649122807017</v>
      </c>
      <c r="O42">
        <v>1</v>
      </c>
      <c r="P42">
        <v>0.9977678571428572</v>
      </c>
      <c r="Q42">
        <v>0.9981</v>
      </c>
      <c r="R42">
        <v>1</v>
      </c>
      <c r="S42">
        <v>0.9105820105820105</v>
      </c>
      <c r="U4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2">
        <v>1</v>
      </c>
      <c r="W42">
        <v>1</v>
      </c>
      <c r="X42">
        <v>1</v>
      </c>
      <c r="Y42">
        <f>1/3</f>
        <v>0.3333333333333333</v>
      </c>
      <c r="Z42">
        <v>0.989</v>
      </c>
      <c r="AA42">
        <v>1</v>
      </c>
      <c r="AB42">
        <v>0.956</v>
      </c>
      <c r="AC42">
        <v>0.935</v>
      </c>
      <c r="AD42">
        <v>1</v>
      </c>
      <c r="AE42">
        <v>1</v>
      </c>
      <c r="AF42">
        <v>0.994</v>
      </c>
      <c r="AG42">
        <v>1</v>
      </c>
      <c r="AH4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3" xml:space="preserve">
      <c r="A43">
        <v>45850</v>
      </c>
      <c r="B43" t="str">
        <v>Region 4</v>
      </c>
      <c r="C43" t="str">
        <v>Juanda Airport Surabaya</v>
      </c>
      <c r="D43" t="str">
        <v>SUB</v>
      </c>
      <c r="E43">
        <v>0.9</v>
      </c>
      <c r="F43">
        <v>1</v>
      </c>
      <c r="G43">
        <v>1</v>
      </c>
      <c r="H43">
        <v>1</v>
      </c>
      <c r="I43">
        <v>0.9955</v>
      </c>
      <c r="J43" t="str">
        <v>95,83%</v>
      </c>
      <c r="K43">
        <v>0.9867</v>
      </c>
      <c r="L43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3">
        <v>0.9812</v>
      </c>
      <c r="N43">
        <v>0.9609649122807017</v>
      </c>
      <c r="O43">
        <v>1</v>
      </c>
      <c r="P43">
        <v>0.9977678571428572</v>
      </c>
      <c r="Q43">
        <v>0.9981</v>
      </c>
      <c r="R43">
        <v>1</v>
      </c>
      <c r="S43">
        <v>0.9105820105820105</v>
      </c>
      <c r="U4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3">
        <v>1</v>
      </c>
      <c r="W43">
        <v>1</v>
      </c>
      <c r="X43">
        <v>1</v>
      </c>
      <c r="Y43">
        <f>1/3</f>
        <v>0.3333333333333333</v>
      </c>
      <c r="Z43">
        <v>0.989</v>
      </c>
      <c r="AA43">
        <v>1</v>
      </c>
      <c r="AB43">
        <v>0.956</v>
      </c>
      <c r="AC43">
        <v>0.935</v>
      </c>
      <c r="AD43">
        <v>1</v>
      </c>
      <c r="AE43">
        <v>1</v>
      </c>
      <c r="AF43">
        <v>0.994</v>
      </c>
      <c r="AG43">
        <v>1</v>
      </c>
      <c r="AH4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4" xml:space="preserve">
      <c r="A44">
        <v>45851</v>
      </c>
      <c r="B44" t="str">
        <v>Region 4</v>
      </c>
      <c r="C44" t="str">
        <v>Juanda Airport Surabaya</v>
      </c>
      <c r="D44" t="str">
        <v>SUB</v>
      </c>
      <c r="E44">
        <v>0.9</v>
      </c>
      <c r="F44">
        <v>1</v>
      </c>
      <c r="G44">
        <v>1</v>
      </c>
      <c r="H44">
        <v>1</v>
      </c>
      <c r="I44">
        <v>0.9955</v>
      </c>
      <c r="J44" t="str">
        <v>95,83%</v>
      </c>
      <c r="K44">
        <v>0.9867</v>
      </c>
      <c r="L44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4">
        <v>0.9812</v>
      </c>
      <c r="N44">
        <v>0.9609649122807017</v>
      </c>
      <c r="O44">
        <v>1</v>
      </c>
      <c r="P44">
        <v>0.9977678571428572</v>
      </c>
      <c r="Q44">
        <v>0.9981</v>
      </c>
      <c r="R44">
        <v>1</v>
      </c>
      <c r="S44">
        <v>0.9105820105820105</v>
      </c>
      <c r="U4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4">
        <v>1</v>
      </c>
      <c r="W44">
        <v>1</v>
      </c>
      <c r="X44">
        <v>1</v>
      </c>
      <c r="Y44">
        <f>1/3</f>
        <v>0.3333333333333333</v>
      </c>
      <c r="Z44">
        <v>0.99</v>
      </c>
      <c r="AA44">
        <v>1</v>
      </c>
      <c r="AB44">
        <v>0.956</v>
      </c>
      <c r="AC44">
        <v>0.935</v>
      </c>
      <c r="AD44">
        <v>1</v>
      </c>
      <c r="AE44">
        <v>1</v>
      </c>
      <c r="AF44">
        <v>0.994</v>
      </c>
      <c r="AG44">
        <v>1</v>
      </c>
      <c r="AH4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2 unit yang rusak (1 unit tipe mobile trace (pengadaan tahun 2017) rencana akan diusulkan hapus aset. 1 unit tipe Desktop (QS-B220) mengalami kerusakan dan masih dalam masa garansi, untuk perbaikan sedang menunggu pengiriman spare part.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5" xml:space="preserve">
      <c r="A45">
        <v>45852</v>
      </c>
      <c r="B45" t="str">
        <v>Region 4</v>
      </c>
      <c r="C45" t="str">
        <v>Juanda Airport Surabaya</v>
      </c>
      <c r="D45" t="str">
        <v>SUB</v>
      </c>
      <c r="E45">
        <v>0.9</v>
      </c>
      <c r="F45">
        <v>1</v>
      </c>
      <c r="G45">
        <v>1</v>
      </c>
      <c r="H45">
        <v>1</v>
      </c>
      <c r="I45">
        <v>0.9955</v>
      </c>
      <c r="J45" t="str">
        <v>95,83%</v>
      </c>
      <c r="K45">
        <v>0.9867</v>
      </c>
      <c r="L45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5">
        <v>0.9812</v>
      </c>
      <c r="N45">
        <v>0.9609649122807017</v>
      </c>
      <c r="O45">
        <v>1</v>
      </c>
      <c r="P45">
        <v>0.9977678571428572</v>
      </c>
      <c r="Q45">
        <v>0.9981</v>
      </c>
      <c r="R45">
        <v>1</v>
      </c>
      <c r="S45">
        <v>0.9105820105820105</v>
      </c>
      <c r="U4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5">
        <v>1</v>
      </c>
      <c r="W45">
        <v>1</v>
      </c>
      <c r="X45">
        <v>1</v>
      </c>
      <c r="Y45">
        <v>0.667</v>
      </c>
      <c r="Z45">
        <v>0.991</v>
      </c>
      <c r="AA45">
        <v>1</v>
      </c>
      <c r="AB45">
        <v>0.956</v>
      </c>
      <c r="AC45">
        <v>0.935</v>
      </c>
      <c r="AD45">
        <v>1</v>
      </c>
      <c r="AE45">
        <v>1</v>
      </c>
      <c r="AF45">
        <v>0.994</v>
      </c>
      <c r="AG45">
        <v>1</v>
      </c>
      <c r="AH4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6" xml:space="preserve">
      <c r="A46">
        <v>45853</v>
      </c>
      <c r="B46" t="str">
        <v>Region 4</v>
      </c>
      <c r="C46" t="str">
        <v>Juanda Airport Surabaya</v>
      </c>
      <c r="D46" t="str">
        <v>SUB</v>
      </c>
      <c r="E46">
        <v>0.9</v>
      </c>
      <c r="F46">
        <v>1</v>
      </c>
      <c r="G46">
        <v>1</v>
      </c>
      <c r="H46">
        <v>1</v>
      </c>
      <c r="I46">
        <v>0.9955</v>
      </c>
      <c r="J46" t="str">
        <v>95,83%</v>
      </c>
      <c r="K46">
        <v>0.9867</v>
      </c>
      <c r="L46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6">
        <v>0.9812</v>
      </c>
      <c r="N46">
        <v>0.9609649122807017</v>
      </c>
      <c r="O46">
        <v>1</v>
      </c>
      <c r="P46">
        <v>0.9977678571428572</v>
      </c>
      <c r="Q46">
        <v>0.9981</v>
      </c>
      <c r="R46">
        <v>1</v>
      </c>
      <c r="S46">
        <v>0.9105820105820105</v>
      </c>
      <c r="U4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6">
        <v>1</v>
      </c>
      <c r="W46">
        <v>1</v>
      </c>
      <c r="X46">
        <v>1</v>
      </c>
      <c r="Y46">
        <v>0.667</v>
      </c>
      <c r="Z46">
        <v>0.991</v>
      </c>
      <c r="AA46">
        <v>1</v>
      </c>
      <c r="AB46">
        <v>0.956</v>
      </c>
      <c r="AC46">
        <v>0.935</v>
      </c>
      <c r="AD46">
        <v>1</v>
      </c>
      <c r="AE46">
        <v>1</v>
      </c>
      <c r="AF46">
        <v>0.994</v>
      </c>
      <c r="AG46">
        <v>1</v>
      </c>
      <c r="AH4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7" xml:space="preserve">
      <c r="A47">
        <v>45854</v>
      </c>
      <c r="B47" t="str">
        <v>Region 4</v>
      </c>
      <c r="C47" t="str">
        <v>Juanda Airport Surabaya</v>
      </c>
      <c r="D47" t="str">
        <v>SUB</v>
      </c>
      <c r="E47">
        <v>0.9</v>
      </c>
      <c r="F47">
        <v>1</v>
      </c>
      <c r="G47">
        <v>1</v>
      </c>
      <c r="H47">
        <v>1</v>
      </c>
      <c r="I47">
        <v>0.9955</v>
      </c>
      <c r="J47" t="str">
        <v>95,83%</v>
      </c>
      <c r="K47">
        <v>0.9867</v>
      </c>
      <c r="L47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7">
        <v>0.9812</v>
      </c>
      <c r="N47">
        <v>0.9609649122807017</v>
      </c>
      <c r="O47">
        <v>1</v>
      </c>
      <c r="P47">
        <v>0.9977678571428572</v>
      </c>
      <c r="Q47">
        <v>0.9981</v>
      </c>
      <c r="R47">
        <v>1</v>
      </c>
      <c r="S47">
        <v>0.9105820105820105</v>
      </c>
      <c r="U4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7">
        <v>1</v>
      </c>
      <c r="W47">
        <v>1</v>
      </c>
      <c r="X47">
        <v>1</v>
      </c>
      <c r="Y47">
        <v>0.667</v>
      </c>
      <c r="Z47">
        <v>0.991</v>
      </c>
      <c r="AA47">
        <v>1</v>
      </c>
      <c r="AB47">
        <v>0.956</v>
      </c>
      <c r="AC47">
        <v>0.935</v>
      </c>
      <c r="AD47">
        <v>1</v>
      </c>
      <c r="AE47">
        <v>1</v>
      </c>
      <c r="AF47">
        <v>0.994</v>
      </c>
      <c r="AG47">
        <v>1</v>
      </c>
      <c r="AH4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8" xml:space="preserve">
      <c r="A48">
        <v>45855</v>
      </c>
      <c r="B48" t="str">
        <v>Region 4</v>
      </c>
      <c r="C48" t="str">
        <v>Juanda Airport Surabaya</v>
      </c>
      <c r="D48" t="str">
        <v>SUB</v>
      </c>
      <c r="E48">
        <v>0.9</v>
      </c>
      <c r="F48">
        <v>1</v>
      </c>
      <c r="G48">
        <v>1</v>
      </c>
      <c r="H48">
        <v>1</v>
      </c>
      <c r="I48">
        <v>0.9955</v>
      </c>
      <c r="J48" t="str">
        <v>95,83%</v>
      </c>
      <c r="K48">
        <v>0.9867</v>
      </c>
      <c r="L48" t="str" xml:space="preserve">
        <v xml:space="preserve">1. Transformator T-07 di MPh rusak dan dalam proses pelaksanaan pekerjaan Investasi Pengadaan dan Penggantian Transformator T-07_x000d_
2. UPS T1B no.1 kondisi off karena kerusakan pada battery</v>
      </c>
      <c r="M48">
        <v>0.9812</v>
      </c>
      <c r="N48">
        <v>0.9609649122807017</v>
      </c>
      <c r="O48">
        <v>1</v>
      </c>
      <c r="P48">
        <v>0.9977678571428572</v>
      </c>
      <c r="Q48">
        <v>0.9981</v>
      </c>
      <c r="R48">
        <v>1</v>
      </c>
      <c r="S48">
        <v>0.9105820105820105</v>
      </c>
      <c r="U4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8">
        <v>1</v>
      </c>
      <c r="W48">
        <v>1</v>
      </c>
      <c r="X48">
        <v>1</v>
      </c>
      <c r="Y48">
        <v>0.667</v>
      </c>
      <c r="Z48">
        <v>0.991</v>
      </c>
      <c r="AA48">
        <v>1</v>
      </c>
      <c r="AB48">
        <v>0.956</v>
      </c>
      <c r="AC48">
        <v>0.935</v>
      </c>
      <c r="AD48">
        <v>1</v>
      </c>
      <c r="AE48">
        <v>1</v>
      </c>
      <c r="AF48">
        <v>0.994</v>
      </c>
      <c r="AG48">
        <v>1</v>
      </c>
      <c r="AH4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49" xml:space="preserve">
      <c r="A49">
        <v>45856</v>
      </c>
      <c r="B49" t="str">
        <v>Region 4</v>
      </c>
      <c r="C49" t="str">
        <v>Juanda Airport Surabaya</v>
      </c>
      <c r="D49" t="str">
        <v>SUB</v>
      </c>
      <c r="E49">
        <v>0.9</v>
      </c>
      <c r="F49">
        <v>1</v>
      </c>
      <c r="G49">
        <v>1</v>
      </c>
      <c r="H49">
        <v>1</v>
      </c>
      <c r="I49">
        <v>1</v>
      </c>
      <c r="J49" t="str">
        <v>95,83%</v>
      </c>
      <c r="K49">
        <v>0.9867</v>
      </c>
      <c r="L49" t="str">
        <v>1. UPS T1B no.1 kondisi off karena kerusakan pada battery</v>
      </c>
      <c r="M49">
        <v>0.9812</v>
      </c>
      <c r="N49">
        <v>0.9609649122807017</v>
      </c>
      <c r="O49">
        <v>1</v>
      </c>
      <c r="P49">
        <v>0.9977678571428572</v>
      </c>
      <c r="Q49">
        <v>0.9981</v>
      </c>
      <c r="R49">
        <v>1</v>
      </c>
      <c r="S49">
        <v>0.9105820105820105</v>
      </c>
      <c r="U4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49">
        <v>1</v>
      </c>
      <c r="W49">
        <v>1</v>
      </c>
      <c r="X49">
        <v>1</v>
      </c>
      <c r="Y49">
        <v>0.667</v>
      </c>
      <c r="Z49">
        <v>0.991</v>
      </c>
      <c r="AA49">
        <v>1</v>
      </c>
      <c r="AB49">
        <v>0.956</v>
      </c>
      <c r="AC49">
        <v>0.935</v>
      </c>
      <c r="AD49">
        <v>1</v>
      </c>
      <c r="AE49">
        <v>1</v>
      </c>
      <c r="AF49">
        <v>0.994</v>
      </c>
      <c r="AG49">
        <v>1</v>
      </c>
      <c r="AH4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0" xml:space="preserve">
      <c r="A50">
        <v>45857</v>
      </c>
      <c r="B50" t="str">
        <v>Region 4</v>
      </c>
      <c r="C50" t="str">
        <v>Juanda Airport Surabaya</v>
      </c>
      <c r="D50" t="str">
        <v>SUB</v>
      </c>
      <c r="E50">
        <v>0.9</v>
      </c>
      <c r="F50">
        <v>1</v>
      </c>
      <c r="G50">
        <v>1</v>
      </c>
      <c r="H50">
        <v>1</v>
      </c>
      <c r="I50">
        <v>1</v>
      </c>
      <c r="J50" t="str">
        <v>95,83%</v>
      </c>
      <c r="K50">
        <v>0.9867</v>
      </c>
      <c r="L50" t="str">
        <v>1. UPS T1B no.1 kondisi off karena kerusakan pada battery</v>
      </c>
      <c r="M50">
        <v>0.9812</v>
      </c>
      <c r="N50">
        <v>0.9609649122807017</v>
      </c>
      <c r="O50">
        <v>1</v>
      </c>
      <c r="P50">
        <v>0.9977678571428572</v>
      </c>
      <c r="Q50">
        <v>0.9981</v>
      </c>
      <c r="R50">
        <v>1</v>
      </c>
      <c r="S50">
        <v>0.9105820105820105</v>
      </c>
      <c r="U5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0">
        <v>1</v>
      </c>
      <c r="W50">
        <v>1</v>
      </c>
      <c r="X50">
        <v>1</v>
      </c>
      <c r="Y50">
        <v>0.667</v>
      </c>
      <c r="Z50">
        <v>0.992</v>
      </c>
      <c r="AA50">
        <v>1</v>
      </c>
      <c r="AB50">
        <v>0.956</v>
      </c>
      <c r="AC50">
        <v>0.935</v>
      </c>
      <c r="AD50">
        <v>1</v>
      </c>
      <c r="AE50">
        <v>1</v>
      </c>
      <c r="AF50">
        <v>0.994</v>
      </c>
      <c r="AG50">
        <v>1</v>
      </c>
      <c r="AH5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1" xml:space="preserve">
      <c r="A51">
        <v>45858</v>
      </c>
      <c r="B51" t="str">
        <v>Region 4</v>
      </c>
      <c r="C51" t="str">
        <v>Juanda Airport Surabaya</v>
      </c>
      <c r="D51" t="str">
        <v>SUB</v>
      </c>
      <c r="E51">
        <v>0.9</v>
      </c>
      <c r="F51">
        <v>1</v>
      </c>
      <c r="G51">
        <v>1</v>
      </c>
      <c r="H51">
        <v>1</v>
      </c>
      <c r="I51">
        <v>1</v>
      </c>
      <c r="J51" t="str">
        <v>95,83%</v>
      </c>
      <c r="K51">
        <v>0.9867</v>
      </c>
      <c r="L51" t="str">
        <v>1. UPS T1B no.1 kondisi off karena kerusakan pada battery</v>
      </c>
      <c r="M51">
        <v>0.9812</v>
      </c>
      <c r="N51">
        <v>0.9609649122807017</v>
      </c>
      <c r="O51">
        <v>1</v>
      </c>
      <c r="P51">
        <v>0.9977678571428572</v>
      </c>
      <c r="Q51">
        <v>0.9981</v>
      </c>
      <c r="R51">
        <v>1</v>
      </c>
      <c r="S51">
        <v>0.9105820105820105</v>
      </c>
      <c r="U5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1">
        <v>1</v>
      </c>
      <c r="W51">
        <v>1</v>
      </c>
      <c r="X51">
        <v>1</v>
      </c>
      <c r="Y51">
        <v>0.667</v>
      </c>
      <c r="Z51">
        <v>0.992</v>
      </c>
      <c r="AA51">
        <v>1</v>
      </c>
      <c r="AB51">
        <v>0.956</v>
      </c>
      <c r="AC51">
        <v>0.935</v>
      </c>
      <c r="AD51">
        <v>1</v>
      </c>
      <c r="AE51">
        <v>1</v>
      </c>
      <c r="AF51">
        <v>0.994</v>
      </c>
      <c r="AG51">
        <v>1</v>
      </c>
      <c r="AH5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2" xml:space="preserve">
      <c r="A52">
        <v>45859</v>
      </c>
      <c r="B52" t="str">
        <v>Region 4</v>
      </c>
      <c r="C52" t="str">
        <v>Juanda Airport Surabaya</v>
      </c>
      <c r="D52" t="str">
        <v>SUB</v>
      </c>
      <c r="E52">
        <v>0.9</v>
      </c>
      <c r="F52">
        <v>1</v>
      </c>
      <c r="G52">
        <v>1</v>
      </c>
      <c r="H52">
        <v>1</v>
      </c>
      <c r="I52">
        <v>1</v>
      </c>
      <c r="J52" t="str">
        <v>95,83%</v>
      </c>
      <c r="K52">
        <v>0.9867</v>
      </c>
      <c r="L52" t="str">
        <v>1. UPS T1B no.1 kondisi off karena kerusakan pada battery</v>
      </c>
      <c r="M52">
        <v>0.9812</v>
      </c>
      <c r="N52">
        <v>0.9609649122807017</v>
      </c>
      <c r="O52">
        <v>1</v>
      </c>
      <c r="P52">
        <v>0.9977678571428572</v>
      </c>
      <c r="Q52">
        <v>0.9981</v>
      </c>
      <c r="R52">
        <v>1</v>
      </c>
      <c r="S52">
        <v>0.9105820105820105</v>
      </c>
      <c r="U5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2">
        <v>1</v>
      </c>
      <c r="W52">
        <v>1</v>
      </c>
      <c r="X52">
        <v>1</v>
      </c>
      <c r="Y52">
        <v>0.667</v>
      </c>
      <c r="Z52">
        <v>0.992</v>
      </c>
      <c r="AA52">
        <v>1</v>
      </c>
      <c r="AB52">
        <v>0.956</v>
      </c>
      <c r="AC52">
        <v>0.935</v>
      </c>
      <c r="AD52">
        <v>1</v>
      </c>
      <c r="AE52">
        <v>1</v>
      </c>
      <c r="AF52">
        <v>0.994</v>
      </c>
      <c r="AG52">
        <v>1</v>
      </c>
      <c r="AH5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3" xml:space="preserve">
      <c r="A53">
        <v>45860</v>
      </c>
      <c r="B53" t="str">
        <v>Region 4</v>
      </c>
      <c r="C53" t="str">
        <v>Juanda Airport Surabaya</v>
      </c>
      <c r="D53" t="str">
        <v>SUB</v>
      </c>
      <c r="E53">
        <v>0.9</v>
      </c>
      <c r="F53">
        <v>1</v>
      </c>
      <c r="G53">
        <v>1</v>
      </c>
      <c r="H53">
        <v>1</v>
      </c>
      <c r="I53">
        <v>1</v>
      </c>
      <c r="J53" t="str">
        <v>95,83%</v>
      </c>
      <c r="K53">
        <v>0.9867</v>
      </c>
      <c r="L53" t="str">
        <v>1. UPS T1B no.1 kondisi off karena kerusakan pada battery</v>
      </c>
      <c r="M53">
        <v>0.9812</v>
      </c>
      <c r="N53">
        <v>0.9609649122807017</v>
      </c>
      <c r="O53">
        <v>1</v>
      </c>
      <c r="P53">
        <v>0.9977678571428572</v>
      </c>
      <c r="Q53">
        <v>0.9981</v>
      </c>
      <c r="R53">
        <v>1</v>
      </c>
      <c r="S53">
        <v>0.9105820105820105</v>
      </c>
      <c r="U5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3">
        <v>1</v>
      </c>
      <c r="W53">
        <v>1</v>
      </c>
      <c r="X53">
        <v>1</v>
      </c>
      <c r="Y53">
        <v>0.667</v>
      </c>
      <c r="Z53">
        <v>0.992</v>
      </c>
      <c r="AA53">
        <v>1</v>
      </c>
      <c r="AB53">
        <v>0.956</v>
      </c>
      <c r="AC53">
        <v>0.935</v>
      </c>
      <c r="AD53">
        <v>1</v>
      </c>
      <c r="AE53">
        <v>1</v>
      </c>
      <c r="AF53">
        <v>0.994</v>
      </c>
      <c r="AG53">
        <v>1</v>
      </c>
      <c r="AH5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4" xml:space="preserve">
      <c r="A54">
        <v>45861</v>
      </c>
      <c r="B54" t="str">
        <v>Region 4</v>
      </c>
      <c r="C54" t="str">
        <v>Juanda Airport Surabaya</v>
      </c>
      <c r="D54" t="str">
        <v>SUB</v>
      </c>
      <c r="E54">
        <v>0.9</v>
      </c>
      <c r="F54">
        <v>1</v>
      </c>
      <c r="G54">
        <v>1</v>
      </c>
      <c r="H54">
        <v>1</v>
      </c>
      <c r="I54">
        <v>1</v>
      </c>
      <c r="J54" t="str">
        <v>95,83%</v>
      </c>
      <c r="K54">
        <v>0.9867</v>
      </c>
      <c r="L54" t="str">
        <v>1. UPS T1B no.1 kondisi off karena kerusakan pada battery</v>
      </c>
      <c r="M54">
        <v>0.9812</v>
      </c>
      <c r="N54">
        <v>0.9609649122807017</v>
      </c>
      <c r="O54">
        <v>1</v>
      </c>
      <c r="P54">
        <v>0.9977678571428572</v>
      </c>
      <c r="Q54">
        <v>0.9981</v>
      </c>
      <c r="R54">
        <v>1</v>
      </c>
      <c r="S54">
        <v>0.9105820105820105</v>
      </c>
      <c r="U5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4">
        <v>1</v>
      </c>
      <c r="W54">
        <v>1</v>
      </c>
      <c r="X54">
        <v>1</v>
      </c>
      <c r="Y54">
        <v>0.667</v>
      </c>
      <c r="Z54">
        <v>0.992</v>
      </c>
      <c r="AA54">
        <v>1</v>
      </c>
      <c r="AB54">
        <v>0.956</v>
      </c>
      <c r="AC54">
        <v>0.935</v>
      </c>
      <c r="AD54">
        <v>1</v>
      </c>
      <c r="AE54">
        <v>1</v>
      </c>
      <c r="AF54">
        <v>0.994</v>
      </c>
      <c r="AG54">
        <v>1</v>
      </c>
      <c r="AH5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5" xml:space="preserve">
      <c r="A55">
        <v>45862</v>
      </c>
      <c r="B55" t="str">
        <v>Region 4</v>
      </c>
      <c r="C55" t="str">
        <v>Juanda Airport Surabaya</v>
      </c>
      <c r="D55" t="str">
        <v>SUB</v>
      </c>
      <c r="E55">
        <v>0.899999999999999</v>
      </c>
      <c r="F55">
        <v>1</v>
      </c>
      <c r="G55">
        <v>1</v>
      </c>
      <c r="H55">
        <v>1</v>
      </c>
      <c r="I55">
        <v>1</v>
      </c>
      <c r="J55" t="str">
        <v>95,83%</v>
      </c>
      <c r="K55">
        <v>0.9867</v>
      </c>
      <c r="L55" t="str">
        <v>1. UPS T1B no.1 kondisi off karena kerusakan pada battery</v>
      </c>
      <c r="M55">
        <v>0.9812</v>
      </c>
      <c r="N55">
        <v>0.9609649122807017</v>
      </c>
      <c r="O55">
        <v>1</v>
      </c>
      <c r="P55">
        <v>0.9977678571428572</v>
      </c>
      <c r="Q55">
        <v>0.9981</v>
      </c>
      <c r="R55">
        <v>1</v>
      </c>
      <c r="S55">
        <v>0.9105820105820105</v>
      </c>
      <c r="U5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5">
        <v>1</v>
      </c>
      <c r="W55">
        <v>1</v>
      </c>
      <c r="X55">
        <v>1</v>
      </c>
      <c r="Y55">
        <v>0.667</v>
      </c>
      <c r="Z55">
        <v>0.992</v>
      </c>
      <c r="AA55">
        <v>1</v>
      </c>
      <c r="AB55">
        <v>0.956</v>
      </c>
      <c r="AC55">
        <v>0.935</v>
      </c>
      <c r="AD55">
        <v>1</v>
      </c>
      <c r="AE55">
        <v>1</v>
      </c>
      <c r="AF55">
        <v>0.994</v>
      </c>
      <c r="AG55">
        <v>1</v>
      </c>
      <c r="AH5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6" xml:space="preserve">
      <c r="A56">
        <v>45863</v>
      </c>
      <c r="B56" t="str">
        <v>Region 4</v>
      </c>
      <c r="C56" t="str">
        <v>Juanda Airport Surabaya</v>
      </c>
      <c r="D56" t="str">
        <v>SUB</v>
      </c>
      <c r="E56">
        <v>0.899999999999999</v>
      </c>
      <c r="F56">
        <v>1</v>
      </c>
      <c r="G56">
        <v>1</v>
      </c>
      <c r="H56">
        <v>1</v>
      </c>
      <c r="I56">
        <v>1</v>
      </c>
      <c r="J56" t="str">
        <v>95,83%</v>
      </c>
      <c r="K56">
        <v>0.9867</v>
      </c>
      <c r="L56" t="str">
        <v>1. UPS T1B no.1 kondisi off karena kerusakan pada battery</v>
      </c>
      <c r="M56">
        <v>0.9812</v>
      </c>
      <c r="N56">
        <v>0.9609649122807017</v>
      </c>
      <c r="O56">
        <v>1</v>
      </c>
      <c r="P56">
        <v>0.9977678571428572</v>
      </c>
      <c r="Q56">
        <v>0.9981</v>
      </c>
      <c r="R56">
        <v>1</v>
      </c>
      <c r="S56">
        <v>0.9105820105820105</v>
      </c>
      <c r="U5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6">
        <v>1</v>
      </c>
      <c r="W56">
        <v>1</v>
      </c>
      <c r="X56">
        <v>1</v>
      </c>
      <c r="Y56">
        <v>0.667</v>
      </c>
      <c r="Z56">
        <v>0.992</v>
      </c>
      <c r="AA56">
        <v>1</v>
      </c>
      <c r="AB56">
        <v>0.956</v>
      </c>
      <c r="AC56">
        <v>0.935</v>
      </c>
      <c r="AD56">
        <v>1</v>
      </c>
      <c r="AE56">
        <v>1</v>
      </c>
      <c r="AF56">
        <v>0.994</v>
      </c>
      <c r="AG56">
        <v>1</v>
      </c>
      <c r="AH5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7" xml:space="preserve">
      <c r="A57">
        <v>45864</v>
      </c>
      <c r="B57" t="str">
        <v>Region 4</v>
      </c>
      <c r="C57" t="str">
        <v>Juanda Airport Surabaya</v>
      </c>
      <c r="D57" t="str">
        <v>SUB</v>
      </c>
      <c r="E57">
        <v>0.899999999999999</v>
      </c>
      <c r="F57">
        <v>1</v>
      </c>
      <c r="G57">
        <v>1</v>
      </c>
      <c r="H57">
        <v>1</v>
      </c>
      <c r="I57">
        <v>1</v>
      </c>
      <c r="J57" t="str">
        <v>95,83%</v>
      </c>
      <c r="K57">
        <v>0.9867</v>
      </c>
      <c r="L57" t="str">
        <v>1. UPS T1B no.1 kondisi off karena kerusakan pada battery</v>
      </c>
      <c r="M57">
        <v>0.9812</v>
      </c>
      <c r="N57">
        <v>0.9609649122807017</v>
      </c>
      <c r="O57">
        <v>1</v>
      </c>
      <c r="P57">
        <v>0.9977678571428572</v>
      </c>
      <c r="Q57">
        <v>0.9981</v>
      </c>
      <c r="R57">
        <v>1</v>
      </c>
      <c r="S57">
        <v>0.9105820105820105</v>
      </c>
      <c r="U5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7">
        <v>1</v>
      </c>
      <c r="W57">
        <v>1</v>
      </c>
      <c r="X57">
        <v>1</v>
      </c>
      <c r="Y57">
        <v>0.667</v>
      </c>
      <c r="Z57">
        <v>0.992</v>
      </c>
      <c r="AA57">
        <v>1</v>
      </c>
      <c r="AB57">
        <v>0.956</v>
      </c>
      <c r="AC57">
        <v>0.935</v>
      </c>
      <c r="AD57">
        <v>1</v>
      </c>
      <c r="AE57">
        <v>1</v>
      </c>
      <c r="AF57">
        <v>0.994</v>
      </c>
      <c r="AG57">
        <v>1</v>
      </c>
      <c r="AH5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8" xml:space="preserve">
      <c r="A58">
        <v>45865</v>
      </c>
      <c r="B58" t="str">
        <v>Region 4</v>
      </c>
      <c r="C58" t="str">
        <v>Juanda Airport Surabaya</v>
      </c>
      <c r="D58" t="str">
        <v>SUB</v>
      </c>
      <c r="E58">
        <v>0.899999999999999</v>
      </c>
      <c r="F58">
        <v>1</v>
      </c>
      <c r="G58">
        <v>1</v>
      </c>
      <c r="H58">
        <v>1</v>
      </c>
      <c r="I58">
        <v>1</v>
      </c>
      <c r="J58" t="str">
        <v>95,83%</v>
      </c>
      <c r="K58">
        <v>0.9867</v>
      </c>
      <c r="L58" t="str">
        <v>1. UPS T1B no.1 kondisi off karena kerusakan pada battery</v>
      </c>
      <c r="M58">
        <v>0.9812</v>
      </c>
      <c r="N58">
        <v>0.9609649122807017</v>
      </c>
      <c r="O58">
        <v>1</v>
      </c>
      <c r="P58">
        <v>0.9977678571428572</v>
      </c>
      <c r="Q58">
        <v>0.9981</v>
      </c>
      <c r="R58">
        <v>1</v>
      </c>
      <c r="S58">
        <v>0.9105820105820105</v>
      </c>
      <c r="U5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8">
        <v>1</v>
      </c>
      <c r="W58">
        <v>1</v>
      </c>
      <c r="X58">
        <v>1</v>
      </c>
      <c r="Y58">
        <v>0.667</v>
      </c>
      <c r="Z58">
        <v>0.992</v>
      </c>
      <c r="AA58">
        <v>1</v>
      </c>
      <c r="AB58">
        <v>0.956</v>
      </c>
      <c r="AC58">
        <v>0.935</v>
      </c>
      <c r="AD58">
        <v>1</v>
      </c>
      <c r="AE58">
        <v>1</v>
      </c>
      <c r="AF58">
        <v>0.994</v>
      </c>
      <c r="AG58">
        <v>1</v>
      </c>
      <c r="AH5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59" xml:space="preserve">
      <c r="A59">
        <v>45866</v>
      </c>
      <c r="B59" t="str">
        <v>Region 4</v>
      </c>
      <c r="C59" t="str">
        <v>Juanda Airport Surabaya</v>
      </c>
      <c r="D59" t="str">
        <v>SUB</v>
      </c>
      <c r="E59">
        <v>0.899999999999999</v>
      </c>
      <c r="F59">
        <v>1</v>
      </c>
      <c r="G59">
        <v>1</v>
      </c>
      <c r="H59">
        <v>1</v>
      </c>
      <c r="I59">
        <v>1</v>
      </c>
      <c r="J59">
        <v>1</v>
      </c>
      <c r="K59">
        <v>0.9867</v>
      </c>
      <c r="M59">
        <v>0.9812</v>
      </c>
      <c r="N59">
        <v>0.9609649122807017</v>
      </c>
      <c r="O59">
        <v>1</v>
      </c>
      <c r="P59">
        <v>0.9977678571428572</v>
      </c>
      <c r="Q59">
        <v>0.9981</v>
      </c>
      <c r="R59">
        <v>1</v>
      </c>
      <c r="S59">
        <v>0.9105820105820105</v>
      </c>
      <c r="U5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59">
        <v>1</v>
      </c>
      <c r="W59">
        <v>1</v>
      </c>
      <c r="X59">
        <v>1</v>
      </c>
      <c r="Y59">
        <v>0.667</v>
      </c>
      <c r="Z59">
        <v>0.992</v>
      </c>
      <c r="AA59">
        <v>1</v>
      </c>
      <c r="AB59">
        <v>0.956</v>
      </c>
      <c r="AC59">
        <v>0.935</v>
      </c>
      <c r="AD59">
        <v>1</v>
      </c>
      <c r="AE59">
        <v>1</v>
      </c>
      <c r="AF59">
        <v>0.994</v>
      </c>
      <c r="AG59">
        <v>1</v>
      </c>
      <c r="AH5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0" xml:space="preserve">
      <c r="A60">
        <v>45867</v>
      </c>
      <c r="B60" t="str">
        <v>Region 4</v>
      </c>
      <c r="C60" t="str">
        <v>Juanda Airport Surabaya</v>
      </c>
      <c r="D60" t="str">
        <v>SUB</v>
      </c>
      <c r="E60">
        <v>0.899999999999999</v>
      </c>
      <c r="F60">
        <v>1</v>
      </c>
      <c r="G60">
        <v>1</v>
      </c>
      <c r="H60">
        <v>1</v>
      </c>
      <c r="I60">
        <v>1</v>
      </c>
      <c r="J60">
        <v>1</v>
      </c>
      <c r="K60">
        <v>0.9867</v>
      </c>
      <c r="M60">
        <v>0.9812</v>
      </c>
      <c r="N60">
        <v>0.9609649122807017</v>
      </c>
      <c r="O60">
        <v>1</v>
      </c>
      <c r="P60">
        <v>0.9977678571428572</v>
      </c>
      <c r="Q60">
        <v>0.9981</v>
      </c>
      <c r="R60">
        <v>1</v>
      </c>
      <c r="S60">
        <v>0.9105820105820105</v>
      </c>
      <c r="U6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0">
        <v>1</v>
      </c>
      <c r="W60">
        <v>1</v>
      </c>
      <c r="X60">
        <v>1</v>
      </c>
      <c r="Y60">
        <v>0.667</v>
      </c>
      <c r="Z60">
        <v>0.992</v>
      </c>
      <c r="AA60">
        <v>1</v>
      </c>
      <c r="AB60">
        <v>0.956</v>
      </c>
      <c r="AC60">
        <v>0.935</v>
      </c>
      <c r="AD60">
        <v>1</v>
      </c>
      <c r="AE60">
        <v>1</v>
      </c>
      <c r="AF60">
        <v>0.994</v>
      </c>
      <c r="AG60">
        <v>1</v>
      </c>
      <c r="AH6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1" xml:space="preserve">
      <c r="A61">
        <v>45868</v>
      </c>
      <c r="B61" t="str">
        <v>Region 4</v>
      </c>
      <c r="C61" t="str">
        <v>Juanda Airport Surabaya</v>
      </c>
      <c r="D61" t="str">
        <v>SUB</v>
      </c>
      <c r="E61">
        <v>0.899999999999999</v>
      </c>
      <c r="F61">
        <v>1</v>
      </c>
      <c r="G61">
        <v>1</v>
      </c>
      <c r="H61">
        <v>1</v>
      </c>
      <c r="I61">
        <v>1</v>
      </c>
      <c r="J61">
        <v>1</v>
      </c>
      <c r="K61">
        <v>0.9867</v>
      </c>
      <c r="M61">
        <v>0.9812</v>
      </c>
      <c r="N61">
        <v>0.9609649122807017</v>
      </c>
      <c r="O61">
        <v>1</v>
      </c>
      <c r="P61">
        <v>0.9977678571428572</v>
      </c>
      <c r="Q61">
        <v>0.9981</v>
      </c>
      <c r="R61">
        <v>1</v>
      </c>
      <c r="S61">
        <v>0.9105820105820105</v>
      </c>
      <c r="U6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1">
        <v>1</v>
      </c>
      <c r="W61">
        <v>1</v>
      </c>
      <c r="X61">
        <v>1</v>
      </c>
      <c r="Y61">
        <v>0.667</v>
      </c>
      <c r="Z61">
        <v>0.992</v>
      </c>
      <c r="AA61">
        <v>1</v>
      </c>
      <c r="AB61">
        <v>0.956</v>
      </c>
      <c r="AC61">
        <v>0.935</v>
      </c>
      <c r="AD61">
        <v>1</v>
      </c>
      <c r="AE61">
        <v>1</v>
      </c>
      <c r="AF61">
        <v>0.994</v>
      </c>
      <c r="AG61">
        <v>1</v>
      </c>
      <c r="AH6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2" xml:space="preserve">
      <c r="A62">
        <v>45869</v>
      </c>
      <c r="B62" t="str">
        <v>Region 4</v>
      </c>
      <c r="C62" t="str">
        <v>Juanda Airport Surabaya</v>
      </c>
      <c r="D62" t="str">
        <v>SUB</v>
      </c>
      <c r="E62">
        <v>0.9</v>
      </c>
      <c r="F62">
        <v>1</v>
      </c>
      <c r="G62">
        <v>1</v>
      </c>
      <c r="H62">
        <v>1</v>
      </c>
      <c r="I62">
        <v>1</v>
      </c>
      <c r="J62">
        <v>1</v>
      </c>
      <c r="K62">
        <v>0.9867</v>
      </c>
      <c r="M62">
        <v>0.9812</v>
      </c>
      <c r="N62">
        <v>0.9609649122807017</v>
      </c>
      <c r="O62">
        <v>1</v>
      </c>
      <c r="P62">
        <v>0.9977678571428572</v>
      </c>
      <c r="Q62">
        <v>0.9981</v>
      </c>
      <c r="R62">
        <v>1</v>
      </c>
      <c r="S62">
        <v>0.9105820105820105</v>
      </c>
      <c r="U6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2">
        <v>1</v>
      </c>
      <c r="W62">
        <v>1</v>
      </c>
      <c r="X62">
        <v>1</v>
      </c>
      <c r="Y62">
        <v>0.667</v>
      </c>
      <c r="Z62">
        <v>0.992</v>
      </c>
      <c r="AA62">
        <v>1</v>
      </c>
      <c r="AB62">
        <v>0.956</v>
      </c>
      <c r="AC62">
        <v>0.935</v>
      </c>
      <c r="AD62">
        <v>1</v>
      </c>
      <c r="AE62">
        <v>1</v>
      </c>
      <c r="AF62">
        <v>0.994</v>
      </c>
      <c r="AG62">
        <v>1</v>
      </c>
      <c r="AH6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3" xml:space="preserve">
      <c r="A63">
        <v>45870</v>
      </c>
      <c r="B63" t="str">
        <v>Region 4</v>
      </c>
      <c r="C63" t="str">
        <v>Juanda Airport Surabaya</v>
      </c>
      <c r="D63" t="str">
        <v>SUB</v>
      </c>
      <c r="E63">
        <v>0.9</v>
      </c>
      <c r="F63">
        <v>1</v>
      </c>
      <c r="G63">
        <v>1</v>
      </c>
      <c r="H63">
        <v>1</v>
      </c>
      <c r="I63">
        <v>1</v>
      </c>
      <c r="J63">
        <v>1</v>
      </c>
      <c r="K63">
        <v>0.9867</v>
      </c>
      <c r="M63">
        <v>0.9812</v>
      </c>
      <c r="N63">
        <v>0.9609649122807017</v>
      </c>
      <c r="O63">
        <v>1</v>
      </c>
      <c r="P63">
        <v>0.9977678571428572</v>
      </c>
      <c r="Q63">
        <v>0.9981</v>
      </c>
      <c r="R63">
        <v>1</v>
      </c>
      <c r="S63">
        <v>0.9105820105820105</v>
      </c>
      <c r="U6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3">
        <v>1</v>
      </c>
      <c r="W63">
        <v>1</v>
      </c>
      <c r="X63">
        <v>1</v>
      </c>
      <c r="Y63">
        <v>0.667</v>
      </c>
      <c r="Z63">
        <v>0.992</v>
      </c>
      <c r="AA63">
        <v>1</v>
      </c>
      <c r="AB63">
        <v>0.956</v>
      </c>
      <c r="AC63">
        <v>0.935</v>
      </c>
      <c r="AD63">
        <v>1</v>
      </c>
      <c r="AE63">
        <v>1</v>
      </c>
      <c r="AF63">
        <v>0.994</v>
      </c>
      <c r="AG63">
        <v>1</v>
      </c>
      <c r="AH6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4" xml:space="preserve">
      <c r="A64">
        <v>45871</v>
      </c>
      <c r="B64" t="str">
        <v>Region 4</v>
      </c>
      <c r="C64" t="str">
        <v>Juanda Airport Surabaya</v>
      </c>
      <c r="D64" t="str">
        <v>SUB</v>
      </c>
      <c r="E64">
        <v>0.9</v>
      </c>
      <c r="F64">
        <v>1</v>
      </c>
      <c r="G64">
        <v>1</v>
      </c>
      <c r="H64">
        <v>1</v>
      </c>
      <c r="I64">
        <v>1</v>
      </c>
      <c r="J64">
        <v>1</v>
      </c>
      <c r="K64">
        <v>0.9867</v>
      </c>
      <c r="M64">
        <v>0.9812</v>
      </c>
      <c r="N64">
        <v>0.9609649122807017</v>
      </c>
      <c r="O64">
        <v>1</v>
      </c>
      <c r="P64">
        <v>0.9977678571428572</v>
      </c>
      <c r="Q64">
        <v>0.9981</v>
      </c>
      <c r="R64">
        <v>1</v>
      </c>
      <c r="S64">
        <v>0.9105820105820105</v>
      </c>
      <c r="U6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4">
        <v>1</v>
      </c>
      <c r="W64">
        <v>1</v>
      </c>
      <c r="X64">
        <v>1</v>
      </c>
      <c r="Y64">
        <v>0.667</v>
      </c>
      <c r="Z64">
        <v>0.992</v>
      </c>
      <c r="AA64">
        <v>1</v>
      </c>
      <c r="AB64">
        <v>0.956</v>
      </c>
      <c r="AC64">
        <v>0.935</v>
      </c>
      <c r="AD64">
        <v>1</v>
      </c>
      <c r="AE64">
        <v>1</v>
      </c>
      <c r="AF64">
        <v>0.994</v>
      </c>
      <c r="AG64">
        <v>1</v>
      </c>
      <c r="AH6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5" xml:space="preserve">
      <c r="A65">
        <v>45872</v>
      </c>
      <c r="B65" t="str">
        <v>Region 4</v>
      </c>
      <c r="C65" t="str">
        <v>Juanda Airport Surabaya</v>
      </c>
      <c r="D65" t="str">
        <v>SUB</v>
      </c>
      <c r="E65">
        <v>0.9</v>
      </c>
      <c r="F65">
        <v>1</v>
      </c>
      <c r="G65">
        <v>1</v>
      </c>
      <c r="H65">
        <v>1</v>
      </c>
      <c r="I65">
        <v>1</v>
      </c>
      <c r="J65">
        <v>1</v>
      </c>
      <c r="K65">
        <v>0.9867</v>
      </c>
      <c r="M65">
        <v>0.9812</v>
      </c>
      <c r="N65">
        <v>0.9609649122807017</v>
      </c>
      <c r="O65">
        <v>1</v>
      </c>
      <c r="P65">
        <v>0.9977678571428572</v>
      </c>
      <c r="Q65">
        <v>0.9981</v>
      </c>
      <c r="R65">
        <v>1</v>
      </c>
      <c r="S65">
        <v>0.9105820105820105</v>
      </c>
      <c r="U6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5">
        <v>1</v>
      </c>
      <c r="W65">
        <v>1</v>
      </c>
      <c r="X65">
        <v>1</v>
      </c>
      <c r="Y65">
        <v>0.667</v>
      </c>
      <c r="Z65">
        <v>0.992</v>
      </c>
      <c r="AA65">
        <v>1</v>
      </c>
      <c r="AB65">
        <v>0.956</v>
      </c>
      <c r="AC65">
        <v>0.935</v>
      </c>
      <c r="AD65">
        <v>1</v>
      </c>
      <c r="AE65">
        <v>1</v>
      </c>
      <c r="AF65">
        <v>0.994</v>
      </c>
      <c r="AG65">
        <v>1</v>
      </c>
      <c r="AH6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6" xml:space="preserve">
      <c r="A66">
        <v>45873</v>
      </c>
      <c r="B66" t="str">
        <v>Region 4</v>
      </c>
      <c r="C66" t="str">
        <v>Juanda Airport Surabaya</v>
      </c>
      <c r="D66" t="str">
        <v>SUB</v>
      </c>
      <c r="E66">
        <v>0.9</v>
      </c>
      <c r="F66">
        <v>1</v>
      </c>
      <c r="G66">
        <v>1</v>
      </c>
      <c r="H66">
        <v>1</v>
      </c>
      <c r="I66">
        <v>1</v>
      </c>
      <c r="J66">
        <v>1</v>
      </c>
      <c r="K66">
        <v>0.9867</v>
      </c>
      <c r="M66">
        <v>0.9812</v>
      </c>
      <c r="N66">
        <v>0.9609649122807017</v>
      </c>
      <c r="O66">
        <v>1</v>
      </c>
      <c r="P66">
        <v>0.9977678571428572</v>
      </c>
      <c r="Q66">
        <v>0.9981</v>
      </c>
      <c r="R66">
        <v>1</v>
      </c>
      <c r="S66">
        <v>0.9105820105820105</v>
      </c>
      <c r="U6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6">
        <v>1</v>
      </c>
      <c r="W66">
        <v>1</v>
      </c>
      <c r="X66">
        <v>1</v>
      </c>
      <c r="Y66">
        <v>0.667</v>
      </c>
      <c r="Z66">
        <v>0.992</v>
      </c>
      <c r="AA66">
        <v>1</v>
      </c>
      <c r="AB66">
        <v>0.956</v>
      </c>
      <c r="AC66">
        <v>0.935</v>
      </c>
      <c r="AD66">
        <v>1</v>
      </c>
      <c r="AE66">
        <v>1</v>
      </c>
      <c r="AF66">
        <v>0.994</v>
      </c>
      <c r="AG66">
        <v>1</v>
      </c>
      <c r="AH6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7" xml:space="preserve">
      <c r="A67">
        <v>45874</v>
      </c>
      <c r="B67" t="str">
        <v>Region 4</v>
      </c>
      <c r="C67" t="str">
        <v>Juanda Airport Surabaya</v>
      </c>
      <c r="D67" t="str">
        <v>SUB</v>
      </c>
      <c r="E67">
        <v>0.9</v>
      </c>
      <c r="F67">
        <v>1</v>
      </c>
      <c r="G67">
        <v>1</v>
      </c>
      <c r="H67">
        <v>1</v>
      </c>
      <c r="I67">
        <v>1</v>
      </c>
      <c r="J67">
        <v>1</v>
      </c>
      <c r="K67">
        <v>0.9867</v>
      </c>
      <c r="M67">
        <v>0.9812</v>
      </c>
      <c r="N67">
        <v>0.9609649122807017</v>
      </c>
      <c r="O67">
        <v>1</v>
      </c>
      <c r="P67">
        <v>0.9977678571428572</v>
      </c>
      <c r="Q67">
        <v>0.9981</v>
      </c>
      <c r="R67">
        <v>1</v>
      </c>
      <c r="S67">
        <v>0.9105820105820105</v>
      </c>
      <c r="U6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7">
        <v>1</v>
      </c>
      <c r="W67">
        <v>1</v>
      </c>
      <c r="X67">
        <v>1</v>
      </c>
      <c r="Y67">
        <v>0.667</v>
      </c>
      <c r="Z67">
        <v>0.992</v>
      </c>
      <c r="AA67">
        <v>1</v>
      </c>
      <c r="AB67">
        <v>0.956</v>
      </c>
      <c r="AC67">
        <v>0.935</v>
      </c>
      <c r="AD67">
        <v>1</v>
      </c>
      <c r="AE67">
        <v>1</v>
      </c>
      <c r="AF67">
        <v>0.994</v>
      </c>
      <c r="AG67">
        <v>1</v>
      </c>
      <c r="AH6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8" xml:space="preserve">
      <c r="A68">
        <v>45875</v>
      </c>
      <c r="B68" t="str">
        <v>Region 4</v>
      </c>
      <c r="C68" t="str">
        <v>Juanda Airport Surabaya</v>
      </c>
      <c r="D68" t="str">
        <v>SUB</v>
      </c>
      <c r="E68">
        <v>0.9</v>
      </c>
      <c r="F68">
        <v>1</v>
      </c>
      <c r="G68">
        <v>1</v>
      </c>
      <c r="H68">
        <v>1</v>
      </c>
      <c r="I68">
        <v>1</v>
      </c>
      <c r="J68">
        <v>1</v>
      </c>
      <c r="K68">
        <v>0.9867</v>
      </c>
      <c r="M68">
        <v>0.9812</v>
      </c>
      <c r="N68">
        <v>0.9609649122807017</v>
      </c>
      <c r="O68">
        <v>1</v>
      </c>
      <c r="P68">
        <v>0.9977678571428572</v>
      </c>
      <c r="Q68">
        <v>0.9981</v>
      </c>
      <c r="R68">
        <v>1</v>
      </c>
      <c r="S68">
        <v>0.9105820105820105</v>
      </c>
      <c r="U6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8">
        <v>1</v>
      </c>
      <c r="W68">
        <v>1</v>
      </c>
      <c r="X68">
        <v>1</v>
      </c>
      <c r="Y68">
        <v>0.667</v>
      </c>
      <c r="Z68">
        <v>0.992</v>
      </c>
      <c r="AA68">
        <v>1</v>
      </c>
      <c r="AB68">
        <v>0.956</v>
      </c>
      <c r="AC68">
        <v>0.935</v>
      </c>
      <c r="AD68">
        <v>1</v>
      </c>
      <c r="AE68">
        <v>1</v>
      </c>
      <c r="AF68">
        <v>0.994</v>
      </c>
      <c r="AG68">
        <v>1</v>
      </c>
      <c r="AH6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69" xml:space="preserve">
      <c r="A69">
        <v>45876</v>
      </c>
      <c r="B69" t="str">
        <v>Region 4</v>
      </c>
      <c r="C69" t="str">
        <v>Juanda Airport Surabaya</v>
      </c>
      <c r="D69" t="str">
        <v>SUB</v>
      </c>
      <c r="E69">
        <v>0.9</v>
      </c>
      <c r="F69">
        <v>1</v>
      </c>
      <c r="G69">
        <v>1</v>
      </c>
      <c r="H69">
        <v>1</v>
      </c>
      <c r="I69">
        <v>1</v>
      </c>
      <c r="J69">
        <v>1</v>
      </c>
      <c r="K69">
        <v>0.9867</v>
      </c>
      <c r="M69">
        <v>0.9812</v>
      </c>
      <c r="N69">
        <v>0.9609649122807017</v>
      </c>
      <c r="O69">
        <v>1</v>
      </c>
      <c r="P69">
        <v>0.9977678571428572</v>
      </c>
      <c r="Q69">
        <v>0.9981</v>
      </c>
      <c r="R69">
        <v>1</v>
      </c>
      <c r="S69">
        <v>0.9105820105820105</v>
      </c>
      <c r="U6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69">
        <v>1</v>
      </c>
      <c r="W69">
        <v>1</v>
      </c>
      <c r="X69">
        <v>1</v>
      </c>
      <c r="Y69">
        <v>0.667</v>
      </c>
      <c r="Z69">
        <v>0.992</v>
      </c>
      <c r="AA69">
        <v>1</v>
      </c>
      <c r="AB69">
        <v>0.956</v>
      </c>
      <c r="AC69">
        <v>0.935</v>
      </c>
      <c r="AD69">
        <v>1</v>
      </c>
      <c r="AE69">
        <v>1</v>
      </c>
      <c r="AF69">
        <v>0.994</v>
      </c>
      <c r="AG69">
        <v>1</v>
      </c>
      <c r="AH6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0" xml:space="preserve">
      <c r="A70">
        <v>45877</v>
      </c>
      <c r="B70" t="str">
        <v>Region 4</v>
      </c>
      <c r="C70" t="str">
        <v>Juanda Airport Surabaya</v>
      </c>
      <c r="D70" t="str">
        <v>SUB</v>
      </c>
      <c r="E70">
        <v>0.9</v>
      </c>
      <c r="F70">
        <v>1</v>
      </c>
      <c r="G70">
        <v>1</v>
      </c>
      <c r="H70">
        <v>1</v>
      </c>
      <c r="I70">
        <v>1</v>
      </c>
      <c r="J70">
        <v>1</v>
      </c>
      <c r="K70">
        <v>0.9867</v>
      </c>
      <c r="M70">
        <v>0.9812</v>
      </c>
      <c r="N70">
        <v>0.9609649122807017</v>
      </c>
      <c r="O70">
        <v>1</v>
      </c>
      <c r="P70">
        <v>0.9977678571428572</v>
      </c>
      <c r="Q70">
        <v>0.9981</v>
      </c>
      <c r="R70">
        <v>1</v>
      </c>
      <c r="S70">
        <v>0.9105820105820105</v>
      </c>
      <c r="U7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0">
        <v>1</v>
      </c>
      <c r="W70">
        <v>1</v>
      </c>
      <c r="X70">
        <v>1</v>
      </c>
      <c r="Y70">
        <v>0.667</v>
      </c>
      <c r="Z70">
        <v>0.992</v>
      </c>
      <c r="AA70">
        <v>1</v>
      </c>
      <c r="AB70">
        <v>0.956</v>
      </c>
      <c r="AC70">
        <v>0.935</v>
      </c>
      <c r="AD70">
        <v>1</v>
      </c>
      <c r="AE70">
        <v>1</v>
      </c>
      <c r="AF70">
        <v>0.994</v>
      </c>
      <c r="AG70">
        <v>1</v>
      </c>
      <c r="AH7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1" xml:space="preserve">
      <c r="A71">
        <v>45878</v>
      </c>
      <c r="B71" t="str">
        <v>Region 4</v>
      </c>
      <c r="C71" t="str">
        <v>Juanda Airport Surabaya</v>
      </c>
      <c r="D71" t="str">
        <v>SUB</v>
      </c>
      <c r="E71">
        <v>0.9</v>
      </c>
      <c r="F71">
        <v>1</v>
      </c>
      <c r="G71">
        <v>1</v>
      </c>
      <c r="H71">
        <v>1</v>
      </c>
      <c r="I71">
        <v>1</v>
      </c>
      <c r="J71">
        <v>1</v>
      </c>
      <c r="K71">
        <v>0.9867</v>
      </c>
      <c r="M71">
        <v>0.9812</v>
      </c>
      <c r="N71">
        <v>0.9609649122807017</v>
      </c>
      <c r="O71">
        <v>1</v>
      </c>
      <c r="P71">
        <v>0.9977678571428572</v>
      </c>
      <c r="Q71">
        <v>0.9981</v>
      </c>
      <c r="R71">
        <v>1</v>
      </c>
      <c r="S71">
        <v>0.9105820105820105</v>
      </c>
      <c r="U7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1">
        <v>1</v>
      </c>
      <c r="W71">
        <v>1</v>
      </c>
      <c r="X71">
        <v>1</v>
      </c>
      <c r="Y71">
        <v>0.667</v>
      </c>
      <c r="Z71">
        <v>0.992</v>
      </c>
      <c r="AA71">
        <v>1</v>
      </c>
      <c r="AB71">
        <v>0.956</v>
      </c>
      <c r="AC71">
        <v>0.935</v>
      </c>
      <c r="AD71">
        <v>1</v>
      </c>
      <c r="AE71">
        <v>1</v>
      </c>
      <c r="AF71">
        <v>0.994</v>
      </c>
      <c r="AG71">
        <v>1</v>
      </c>
      <c r="AH7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2" xml:space="preserve">
      <c r="A72">
        <v>45879</v>
      </c>
      <c r="B72" t="str">
        <v>Region 4</v>
      </c>
      <c r="C72" t="str">
        <v>Juanda Airport Surabaya</v>
      </c>
      <c r="D72" t="str">
        <v>SUB</v>
      </c>
      <c r="E72">
        <v>0.9</v>
      </c>
      <c r="F72">
        <v>1</v>
      </c>
      <c r="G72">
        <v>1</v>
      </c>
      <c r="H72">
        <v>1</v>
      </c>
      <c r="I72">
        <v>1</v>
      </c>
      <c r="J72">
        <v>1</v>
      </c>
      <c r="K72">
        <v>0.9867</v>
      </c>
      <c r="M72">
        <v>0.9812</v>
      </c>
      <c r="N72">
        <v>0.9609649122807017</v>
      </c>
      <c r="O72">
        <v>1</v>
      </c>
      <c r="P72">
        <v>0.9977678571428572</v>
      </c>
      <c r="Q72">
        <v>0.9981</v>
      </c>
      <c r="R72">
        <v>1</v>
      </c>
      <c r="S72">
        <v>0.9105820105820105</v>
      </c>
      <c r="U7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2">
        <v>1</v>
      </c>
      <c r="W72">
        <v>1</v>
      </c>
      <c r="X72">
        <v>1</v>
      </c>
      <c r="Y72">
        <v>0.667</v>
      </c>
      <c r="Z72">
        <v>0.992</v>
      </c>
      <c r="AA72">
        <v>1</v>
      </c>
      <c r="AB72">
        <v>0.956</v>
      </c>
      <c r="AC72">
        <v>0.935</v>
      </c>
      <c r="AD72">
        <v>1</v>
      </c>
      <c r="AE72">
        <v>1</v>
      </c>
      <c r="AF72">
        <v>0.994</v>
      </c>
      <c r="AG72">
        <v>1</v>
      </c>
      <c r="AH7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3" xml:space="preserve">
      <c r="A73">
        <v>45880</v>
      </c>
      <c r="B73" t="str">
        <v>Region 4</v>
      </c>
      <c r="C73" t="str">
        <v>Juanda Airport Surabaya</v>
      </c>
      <c r="D73" t="str">
        <v>SUB</v>
      </c>
      <c r="E73">
        <v>0.9</v>
      </c>
      <c r="F73">
        <v>1</v>
      </c>
      <c r="G73">
        <v>1</v>
      </c>
      <c r="H73">
        <v>1</v>
      </c>
      <c r="I73">
        <v>1</v>
      </c>
      <c r="J73">
        <v>1</v>
      </c>
      <c r="K73">
        <v>0.9867</v>
      </c>
      <c r="M73">
        <v>0.9812</v>
      </c>
      <c r="N73">
        <v>0.9609649122807017</v>
      </c>
      <c r="O73">
        <v>1</v>
      </c>
      <c r="P73">
        <v>0.9977678571428572</v>
      </c>
      <c r="Q73">
        <v>0.9981</v>
      </c>
      <c r="R73">
        <v>1</v>
      </c>
      <c r="S73">
        <v>0.9105820105820105</v>
      </c>
      <c r="U7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3">
        <v>1</v>
      </c>
      <c r="W73">
        <v>1</v>
      </c>
      <c r="X73">
        <v>1</v>
      </c>
      <c r="Y73">
        <v>0.667</v>
      </c>
      <c r="Z73">
        <v>0.992</v>
      </c>
      <c r="AA73">
        <v>1</v>
      </c>
      <c r="AB73">
        <v>0.956</v>
      </c>
      <c r="AC73">
        <v>0.935</v>
      </c>
      <c r="AD73">
        <v>1</v>
      </c>
      <c r="AE73">
        <v>1</v>
      </c>
      <c r="AF73">
        <v>0.994</v>
      </c>
      <c r="AG73">
        <v>1</v>
      </c>
      <c r="AH7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4" xml:space="preserve">
      <c r="A74">
        <v>45881</v>
      </c>
      <c r="B74" t="str">
        <v>Region 4</v>
      </c>
      <c r="C74" t="str">
        <v>Juanda Airport Surabaya</v>
      </c>
      <c r="D74" t="str">
        <v>SUB</v>
      </c>
      <c r="E74">
        <v>0.9</v>
      </c>
      <c r="F74">
        <v>1</v>
      </c>
      <c r="G74">
        <v>1</v>
      </c>
      <c r="H74">
        <v>1</v>
      </c>
      <c r="I74">
        <v>1</v>
      </c>
      <c r="J74">
        <v>1</v>
      </c>
      <c r="K74">
        <v>0.9867</v>
      </c>
      <c r="M74">
        <v>0.9812</v>
      </c>
      <c r="N74">
        <v>0.9609649122807017</v>
      </c>
      <c r="O74">
        <v>1</v>
      </c>
      <c r="P74">
        <v>0.9977678571428572</v>
      </c>
      <c r="Q74">
        <v>0.9981</v>
      </c>
      <c r="R74">
        <v>1</v>
      </c>
      <c r="S74">
        <v>0.9105820105820105</v>
      </c>
      <c r="U7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4">
        <v>1</v>
      </c>
      <c r="W74">
        <v>1</v>
      </c>
      <c r="X74">
        <v>1</v>
      </c>
      <c r="Y74">
        <v>0.667</v>
      </c>
      <c r="Z74">
        <v>0.992</v>
      </c>
      <c r="AA74">
        <v>1</v>
      </c>
      <c r="AB74">
        <v>0.956</v>
      </c>
      <c r="AC74">
        <v>0.935</v>
      </c>
      <c r="AD74">
        <v>1</v>
      </c>
      <c r="AE74">
        <v>1</v>
      </c>
      <c r="AF74">
        <v>0.994</v>
      </c>
      <c r="AG74">
        <v>1</v>
      </c>
      <c r="AH7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5" xml:space="preserve">
      <c r="A75">
        <v>45882</v>
      </c>
      <c r="B75" t="str">
        <v>Region 4</v>
      </c>
      <c r="C75" t="str">
        <v>Juanda Airport Surabaya</v>
      </c>
      <c r="D75" t="str">
        <v>SUB</v>
      </c>
      <c r="E75">
        <v>0.9</v>
      </c>
      <c r="F75">
        <v>1</v>
      </c>
      <c r="G75">
        <v>1</v>
      </c>
      <c r="H75">
        <v>1</v>
      </c>
      <c r="I75">
        <v>1</v>
      </c>
      <c r="J75">
        <v>1</v>
      </c>
      <c r="K75">
        <v>0.9867</v>
      </c>
      <c r="M75">
        <v>0.9812</v>
      </c>
      <c r="N75">
        <v>0.9609649122807017</v>
      </c>
      <c r="O75">
        <v>1</v>
      </c>
      <c r="P75">
        <v>0.9977678571428572</v>
      </c>
      <c r="Q75">
        <v>0.9981</v>
      </c>
      <c r="R75">
        <v>1</v>
      </c>
      <c r="S75">
        <v>0.9105820105820105</v>
      </c>
      <c r="U7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5">
        <v>0.979</v>
      </c>
      <c r="W75">
        <v>1</v>
      </c>
      <c r="X75">
        <v>1</v>
      </c>
      <c r="Y75">
        <v>0.667</v>
      </c>
      <c r="Z75">
        <v>0.992</v>
      </c>
      <c r="AA75">
        <v>1</v>
      </c>
      <c r="AB75">
        <v>0.956</v>
      </c>
      <c r="AC75">
        <v>0.935</v>
      </c>
      <c r="AD75">
        <v>1</v>
      </c>
      <c r="AE75">
        <v>1</v>
      </c>
      <c r="AF75">
        <v>0.994</v>
      </c>
      <c r="AG75">
        <v>1</v>
      </c>
      <c r="AH7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6" xml:space="preserve">
      <c r="A76">
        <v>45883</v>
      </c>
      <c r="B76" t="str">
        <v>Region 4</v>
      </c>
      <c r="C76" t="str">
        <v>Juanda Airport Surabaya</v>
      </c>
      <c r="D76" t="str">
        <v>SUB</v>
      </c>
      <c r="E76">
        <v>0.9</v>
      </c>
      <c r="F76">
        <v>1</v>
      </c>
      <c r="G76">
        <v>1</v>
      </c>
      <c r="H76">
        <v>1</v>
      </c>
      <c r="I76">
        <v>1</v>
      </c>
      <c r="J76">
        <v>1</v>
      </c>
      <c r="K76">
        <v>0.9867</v>
      </c>
      <c r="M76">
        <v>0.9812</v>
      </c>
      <c r="N76">
        <v>0.9609649122807017</v>
      </c>
      <c r="O76">
        <v>1</v>
      </c>
      <c r="P76">
        <v>0.9977678571428572</v>
      </c>
      <c r="Q76">
        <v>0.9981</v>
      </c>
      <c r="R76">
        <v>1</v>
      </c>
      <c r="S76">
        <v>0.9105820105820105</v>
      </c>
      <c r="U7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6">
        <v>0.979</v>
      </c>
      <c r="W76">
        <v>1</v>
      </c>
      <c r="X76">
        <v>1</v>
      </c>
      <c r="Y76">
        <v>0.667</v>
      </c>
      <c r="Z76">
        <v>0.99</v>
      </c>
      <c r="AA76">
        <v>1</v>
      </c>
      <c r="AB76">
        <v>0.956</v>
      </c>
      <c r="AC76">
        <v>0.935</v>
      </c>
      <c r="AD76">
        <v>1</v>
      </c>
      <c r="AE76">
        <v>1</v>
      </c>
      <c r="AF76">
        <v>0.994</v>
      </c>
      <c r="AG76">
        <v>1</v>
      </c>
      <c r="AH7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7" xml:space="preserve">
      <c r="A77">
        <v>45884</v>
      </c>
      <c r="B77" t="str">
        <v>Region 4</v>
      </c>
      <c r="C77" t="str">
        <v>Juanda Airport Surabaya</v>
      </c>
      <c r="D77" t="str">
        <v>SUB</v>
      </c>
      <c r="E77">
        <v>0.9</v>
      </c>
      <c r="F77">
        <v>1</v>
      </c>
      <c r="G77">
        <v>1</v>
      </c>
      <c r="H77">
        <v>1</v>
      </c>
      <c r="I77">
        <v>1</v>
      </c>
      <c r="J77">
        <v>1</v>
      </c>
      <c r="K77">
        <v>0.9867</v>
      </c>
      <c r="M77">
        <v>0.9812</v>
      </c>
      <c r="N77">
        <v>0.9609649122807017</v>
      </c>
      <c r="O77">
        <v>1</v>
      </c>
      <c r="P77">
        <v>0.9977678571428572</v>
      </c>
      <c r="Q77">
        <v>0.9981</v>
      </c>
      <c r="R77">
        <v>1</v>
      </c>
      <c r="S77">
        <v>0.9105820105820105</v>
      </c>
      <c r="U7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7">
        <v>0.979</v>
      </c>
      <c r="W77">
        <v>1</v>
      </c>
      <c r="X77">
        <v>1</v>
      </c>
      <c r="Y77">
        <v>0.667</v>
      </c>
      <c r="Z77">
        <v>0.99</v>
      </c>
      <c r="AA77">
        <v>1</v>
      </c>
      <c r="AB77">
        <v>0.956</v>
      </c>
      <c r="AC77">
        <v>0.935</v>
      </c>
      <c r="AD77">
        <v>1</v>
      </c>
      <c r="AE77">
        <v>1</v>
      </c>
      <c r="AF77">
        <v>0.994</v>
      </c>
      <c r="AG77">
        <v>1</v>
      </c>
      <c r="AH7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8" xml:space="preserve">
      <c r="A78">
        <v>45885</v>
      </c>
      <c r="B78" t="str">
        <v>Region 4</v>
      </c>
      <c r="C78" t="str">
        <v>Juanda Airport Surabaya</v>
      </c>
      <c r="D78" t="str">
        <v>SUB</v>
      </c>
      <c r="E78">
        <v>0.9</v>
      </c>
      <c r="F78">
        <v>1</v>
      </c>
      <c r="G78">
        <v>1</v>
      </c>
      <c r="H78">
        <v>1</v>
      </c>
      <c r="I78">
        <v>1</v>
      </c>
      <c r="J78">
        <v>1</v>
      </c>
      <c r="K78">
        <v>0.9867</v>
      </c>
      <c r="M78">
        <v>0.9812</v>
      </c>
      <c r="N78">
        <v>0.9609649122807017</v>
      </c>
      <c r="O78">
        <v>1</v>
      </c>
      <c r="P78">
        <v>0.9977678571428572</v>
      </c>
      <c r="Q78">
        <v>0.9981</v>
      </c>
      <c r="R78">
        <v>1</v>
      </c>
      <c r="S78">
        <v>0.9105820105820105</v>
      </c>
      <c r="U7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8">
        <v>0.979</v>
      </c>
      <c r="W78">
        <v>1</v>
      </c>
      <c r="X78">
        <v>1</v>
      </c>
      <c r="Y78">
        <v>0.667</v>
      </c>
      <c r="Z78">
        <v>0.99</v>
      </c>
      <c r="AA78">
        <v>1</v>
      </c>
      <c r="AB78">
        <v>0.956</v>
      </c>
      <c r="AC78">
        <v>0.935</v>
      </c>
      <c r="AD78">
        <v>1</v>
      </c>
      <c r="AE78">
        <v>1</v>
      </c>
      <c r="AF78">
        <v>0.994</v>
      </c>
      <c r="AG78">
        <v>1</v>
      </c>
      <c r="AH7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79" xml:space="preserve">
      <c r="A79">
        <v>45886</v>
      </c>
      <c r="B79" t="str">
        <v>Region 4</v>
      </c>
      <c r="C79" t="str">
        <v>Juanda Airport Surabaya</v>
      </c>
      <c r="D79" t="str">
        <v>SUB</v>
      </c>
      <c r="E79">
        <v>0.9</v>
      </c>
      <c r="F79">
        <v>1</v>
      </c>
      <c r="G79">
        <v>1</v>
      </c>
      <c r="H79">
        <v>1</v>
      </c>
      <c r="I79">
        <v>1</v>
      </c>
      <c r="J79">
        <v>1</v>
      </c>
      <c r="K79">
        <v>0.9867</v>
      </c>
      <c r="M79">
        <v>0.9812</v>
      </c>
      <c r="N79">
        <v>0.9609649122807017</v>
      </c>
      <c r="O79">
        <v>1</v>
      </c>
      <c r="P79">
        <v>0.9977678571428572</v>
      </c>
      <c r="Q79">
        <v>0.9981</v>
      </c>
      <c r="R79">
        <v>1</v>
      </c>
      <c r="S79">
        <v>0.9105820105820105</v>
      </c>
      <c r="U7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79">
        <v>0.979</v>
      </c>
      <c r="W79">
        <v>1</v>
      </c>
      <c r="X79">
        <v>1</v>
      </c>
      <c r="Y79">
        <v>0.667</v>
      </c>
      <c r="Z79">
        <v>0.99</v>
      </c>
      <c r="AA79">
        <v>1</v>
      </c>
      <c r="AB79">
        <v>0.956</v>
      </c>
      <c r="AC79">
        <v>0.935</v>
      </c>
      <c r="AD79">
        <v>1</v>
      </c>
      <c r="AE79">
        <v>1</v>
      </c>
      <c r="AF79">
        <v>0.994</v>
      </c>
      <c r="AG79">
        <v>1</v>
      </c>
      <c r="AH7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80" xml:space="preserve">
      <c r="A80">
        <v>45887</v>
      </c>
      <c r="B80" t="str">
        <v>Region 4</v>
      </c>
      <c r="C80" t="str">
        <v>Juanda Airport Surabaya</v>
      </c>
      <c r="D80" t="str">
        <v>SUB</v>
      </c>
      <c r="E80">
        <v>0.9</v>
      </c>
      <c r="F80">
        <v>1</v>
      </c>
      <c r="G80">
        <v>1</v>
      </c>
      <c r="H80">
        <v>1</v>
      </c>
      <c r="I80">
        <v>1</v>
      </c>
      <c r="J80">
        <v>1</v>
      </c>
      <c r="K80">
        <v>0.9867</v>
      </c>
      <c r="M80">
        <v>0.9812</v>
      </c>
      <c r="N80">
        <v>0.9609649122807017</v>
      </c>
      <c r="O80">
        <v>1</v>
      </c>
      <c r="P80">
        <v>0.9977678571428572</v>
      </c>
      <c r="Q80">
        <v>0.9981</v>
      </c>
      <c r="R80">
        <v>1</v>
      </c>
      <c r="S80">
        <v>0.9105820105820105</v>
      </c>
      <c r="U8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0">
        <v>0.979</v>
      </c>
      <c r="W80">
        <v>1</v>
      </c>
      <c r="X80">
        <v>1</v>
      </c>
      <c r="Y80">
        <v>0.667</v>
      </c>
      <c r="Z80">
        <v>0.99</v>
      </c>
      <c r="AA80">
        <v>1</v>
      </c>
      <c r="AB80">
        <v>0.956</v>
      </c>
      <c r="AC80">
        <v>0.935</v>
      </c>
      <c r="AD80">
        <v>1</v>
      </c>
      <c r="AE80">
        <v>1</v>
      </c>
      <c r="AF80">
        <v>0.994</v>
      </c>
      <c r="AG80">
        <v>1</v>
      </c>
      <c r="AH8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81" xml:space="preserve">
      <c r="A81">
        <v>45888</v>
      </c>
      <c r="B81" t="str">
        <v>Region 4</v>
      </c>
      <c r="C81" t="str">
        <v>Juanda Airport Surabaya</v>
      </c>
      <c r="D81" t="str">
        <v>SUB</v>
      </c>
      <c r="E81">
        <v>0.9</v>
      </c>
      <c r="F81">
        <v>1</v>
      </c>
      <c r="G81">
        <v>1</v>
      </c>
      <c r="H81">
        <v>1</v>
      </c>
      <c r="I81">
        <v>1</v>
      </c>
      <c r="J81">
        <v>1</v>
      </c>
      <c r="K81">
        <v>0.9867</v>
      </c>
      <c r="M81">
        <v>0.9812</v>
      </c>
      <c r="N81">
        <v>0.9609649122807017</v>
      </c>
      <c r="O81">
        <v>1</v>
      </c>
      <c r="P81">
        <v>0.9977678571428572</v>
      </c>
      <c r="Q81">
        <v>0.9981</v>
      </c>
      <c r="R81">
        <v>1</v>
      </c>
      <c r="S81">
        <v>0.9105820105820105</v>
      </c>
      <c r="U8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1">
        <v>0.979</v>
      </c>
      <c r="W81">
        <v>1</v>
      </c>
      <c r="X81">
        <v>1</v>
      </c>
      <c r="Y81">
        <v>0.667</v>
      </c>
      <c r="Z81">
        <v>0.99</v>
      </c>
      <c r="AA81">
        <v>1</v>
      </c>
      <c r="AB81">
        <v>0.956</v>
      </c>
      <c r="AC81">
        <v>0.935</v>
      </c>
      <c r="AD81">
        <v>1</v>
      </c>
      <c r="AE81">
        <v>1</v>
      </c>
      <c r="AF81">
        <v>0.994</v>
      </c>
      <c r="AG81">
        <v>1</v>
      </c>
      <c r="AH8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82" xml:space="preserve">
      <c r="A82">
        <v>45889</v>
      </c>
      <c r="B82" t="str">
        <v>Region 4</v>
      </c>
      <c r="C82" t="str">
        <v>Juanda Airport Surabaya</v>
      </c>
      <c r="D82" t="str">
        <v>SUB</v>
      </c>
      <c r="E82">
        <v>0.9</v>
      </c>
      <c r="F82">
        <v>1</v>
      </c>
      <c r="G82">
        <v>1</v>
      </c>
      <c r="H82">
        <v>1</v>
      </c>
      <c r="I82">
        <v>1</v>
      </c>
      <c r="J82">
        <v>1</v>
      </c>
      <c r="K82">
        <v>0.9867</v>
      </c>
      <c r="M82">
        <v>0.9812</v>
      </c>
      <c r="N82">
        <v>0.9609649122807017</v>
      </c>
      <c r="O82">
        <v>1</v>
      </c>
      <c r="P82">
        <v>0.9977678571428572</v>
      </c>
      <c r="Q82">
        <v>0.9981</v>
      </c>
      <c r="R82">
        <v>1</v>
      </c>
      <c r="S82">
        <v>0.9105820105820105</v>
      </c>
      <c r="U8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2">
        <v>0.979</v>
      </c>
      <c r="W82">
        <v>1</v>
      </c>
      <c r="X82">
        <v>1</v>
      </c>
      <c r="Y82">
        <v>0.667</v>
      </c>
      <c r="Z82">
        <v>0.99</v>
      </c>
      <c r="AA82">
        <v>1</v>
      </c>
      <c r="AB82">
        <v>0.956</v>
      </c>
      <c r="AC82">
        <v>0.935</v>
      </c>
      <c r="AD82">
        <v>1</v>
      </c>
      <c r="AE82">
        <v>1</v>
      </c>
      <c r="AF82">
        <v>0.994</v>
      </c>
      <c r="AG82">
        <v>1</v>
      </c>
      <c r="AH8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</v>
      </c>
    </row>
    <row r="83" xml:space="preserve">
      <c r="A83">
        <v>45890</v>
      </c>
      <c r="B83" t="str">
        <v>Region 4</v>
      </c>
      <c r="C83" t="str">
        <v>Juanda Airport Surabaya</v>
      </c>
      <c r="D83" t="str">
        <v>SUB</v>
      </c>
      <c r="E83">
        <v>0.9</v>
      </c>
      <c r="F83">
        <v>1</v>
      </c>
      <c r="G83">
        <v>1</v>
      </c>
      <c r="H83">
        <v>1</v>
      </c>
      <c r="I83">
        <v>1</v>
      </c>
      <c r="J83">
        <v>1</v>
      </c>
      <c r="K83">
        <v>0.9867</v>
      </c>
      <c r="M83">
        <v>0.9812</v>
      </c>
      <c r="N83">
        <v>0.9609649122807017</v>
      </c>
      <c r="O83">
        <v>1</v>
      </c>
      <c r="P83">
        <v>0.9977678571428572</v>
      </c>
      <c r="Q83">
        <v>0.9981</v>
      </c>
      <c r="R83">
        <v>1</v>
      </c>
      <c r="S83">
        <v>0.9105820105820105</v>
      </c>
      <c r="U8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3">
        <v>0.979</v>
      </c>
      <c r="W83">
        <v>1</v>
      </c>
      <c r="X83">
        <v>1</v>
      </c>
      <c r="Y83">
        <v>0.667</v>
      </c>
      <c r="Z83">
        <v>0.991</v>
      </c>
      <c r="AA83">
        <v>1</v>
      </c>
      <c r="AB83">
        <v>0.956</v>
      </c>
      <c r="AC83">
        <v>0.935</v>
      </c>
      <c r="AD83">
        <v>1</v>
      </c>
      <c r="AE83">
        <v>1</v>
      </c>
      <c r="AF83">
        <v>0.994</v>
      </c>
      <c r="AG83">
        <v>1</v>
      </c>
      <c r="AH8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84" xml:space="preserve">
      <c r="A84">
        <v>45891</v>
      </c>
      <c r="B84" t="str">
        <v>Region 4</v>
      </c>
      <c r="C84" t="str">
        <v>Juanda Airport Surabaya</v>
      </c>
      <c r="D84" t="str">
        <v>SUB</v>
      </c>
      <c r="E84">
        <v>0.9</v>
      </c>
      <c r="F84">
        <v>1</v>
      </c>
      <c r="G84">
        <v>1</v>
      </c>
      <c r="H84">
        <v>1</v>
      </c>
      <c r="I84">
        <v>1</v>
      </c>
      <c r="J84">
        <v>1</v>
      </c>
      <c r="K84">
        <v>0.9867</v>
      </c>
      <c r="M84">
        <v>0.9812</v>
      </c>
      <c r="N84">
        <v>0.9609649122807017</v>
      </c>
      <c r="O84">
        <v>1</v>
      </c>
      <c r="P84">
        <v>0.9977678571428572</v>
      </c>
      <c r="Q84">
        <v>0.9981</v>
      </c>
      <c r="R84">
        <v>1</v>
      </c>
      <c r="S84">
        <v>0.9105820105820105</v>
      </c>
      <c r="U8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4">
        <v>0.979</v>
      </c>
      <c r="W84">
        <v>1</v>
      </c>
      <c r="X84">
        <v>1</v>
      </c>
      <c r="Y84">
        <v>0.667</v>
      </c>
      <c r="Z84">
        <v>0.991</v>
      </c>
      <c r="AA84">
        <v>1</v>
      </c>
      <c r="AB84">
        <v>0.956</v>
      </c>
      <c r="AC84">
        <v>0.935</v>
      </c>
      <c r="AD84">
        <v>1</v>
      </c>
      <c r="AE84">
        <v>1</v>
      </c>
      <c r="AF84">
        <v>0.994</v>
      </c>
      <c r="AG84">
        <v>1</v>
      </c>
      <c r="AH8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85" xml:space="preserve">
      <c r="A85">
        <v>45892</v>
      </c>
      <c r="B85" t="str">
        <v>Region 4</v>
      </c>
      <c r="C85" t="str">
        <v>Juanda Airport Surabaya</v>
      </c>
      <c r="D85" t="str">
        <v>SUB</v>
      </c>
      <c r="E85">
        <v>0.899999999999999</v>
      </c>
      <c r="F85">
        <v>1</v>
      </c>
      <c r="G85">
        <v>1</v>
      </c>
      <c r="H85">
        <v>1</v>
      </c>
      <c r="I85">
        <v>1</v>
      </c>
      <c r="J85">
        <v>1</v>
      </c>
      <c r="K85">
        <v>0.9867</v>
      </c>
      <c r="M85">
        <v>0.9812</v>
      </c>
      <c r="N85">
        <v>0.9609649122807017</v>
      </c>
      <c r="O85">
        <v>1</v>
      </c>
      <c r="P85">
        <v>0.9977678571428572</v>
      </c>
      <c r="Q85">
        <v>0.9981</v>
      </c>
      <c r="R85">
        <v>1</v>
      </c>
      <c r="S85">
        <v>0.9105820105820105</v>
      </c>
      <c r="U8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5">
        <v>0.979</v>
      </c>
      <c r="W85">
        <v>1</v>
      </c>
      <c r="X85">
        <v>1</v>
      </c>
      <c r="Y85">
        <v>0.667</v>
      </c>
      <c r="Z85">
        <v>0.991</v>
      </c>
      <c r="AA85">
        <v>1</v>
      </c>
      <c r="AB85">
        <v>0.956</v>
      </c>
      <c r="AC85">
        <v>0.935</v>
      </c>
      <c r="AD85">
        <v>1</v>
      </c>
      <c r="AE85">
        <v>1</v>
      </c>
      <c r="AF85">
        <v>0.994</v>
      </c>
      <c r="AG85">
        <v>1</v>
      </c>
      <c r="AH8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86" xml:space="preserve">
      <c r="A86">
        <v>45893</v>
      </c>
      <c r="B86" t="str">
        <v>Region 4</v>
      </c>
      <c r="C86" t="str">
        <v>Juanda Airport Surabaya</v>
      </c>
      <c r="D86" t="str">
        <v>SUB</v>
      </c>
      <c r="E86">
        <v>0.899999999999999</v>
      </c>
      <c r="F86">
        <v>1</v>
      </c>
      <c r="G86">
        <v>1</v>
      </c>
      <c r="H86">
        <v>1</v>
      </c>
      <c r="I86">
        <v>1</v>
      </c>
      <c r="J86">
        <v>1</v>
      </c>
      <c r="K86">
        <v>0.9867</v>
      </c>
      <c r="M86">
        <v>0.9812</v>
      </c>
      <c r="N86">
        <v>0.9609649122807017</v>
      </c>
      <c r="O86">
        <v>1</v>
      </c>
      <c r="P86">
        <v>0.9977678571428572</v>
      </c>
      <c r="Q86">
        <v>0.9981</v>
      </c>
      <c r="R86">
        <v>1</v>
      </c>
      <c r="S86">
        <v>0.9105820105820105</v>
      </c>
      <c r="U8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6">
        <v>0.979</v>
      </c>
      <c r="W86">
        <v>1</v>
      </c>
      <c r="X86">
        <v>1</v>
      </c>
      <c r="Y86">
        <v>0.667</v>
      </c>
      <c r="Z86">
        <v>0.991</v>
      </c>
      <c r="AA86">
        <v>1</v>
      </c>
      <c r="AB86">
        <v>0.956</v>
      </c>
      <c r="AC86">
        <v>0.935</v>
      </c>
      <c r="AD86">
        <v>1</v>
      </c>
      <c r="AE86">
        <v>1</v>
      </c>
      <c r="AF86">
        <v>0.994</v>
      </c>
      <c r="AG86">
        <v>1</v>
      </c>
      <c r="AH8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87" xml:space="preserve">
      <c r="A87">
        <v>45894</v>
      </c>
      <c r="B87" t="str">
        <v>Region 4</v>
      </c>
      <c r="C87" t="str">
        <v>Juanda Airport Surabaya</v>
      </c>
      <c r="D87" t="str">
        <v>SUB</v>
      </c>
      <c r="E87">
        <v>0.899999999999999</v>
      </c>
      <c r="F87">
        <v>1</v>
      </c>
      <c r="G87">
        <v>1</v>
      </c>
      <c r="H87">
        <v>1</v>
      </c>
      <c r="I87">
        <v>1</v>
      </c>
      <c r="J87">
        <v>1</v>
      </c>
      <c r="K87">
        <v>0.9867</v>
      </c>
      <c r="M87">
        <v>0.9812</v>
      </c>
      <c r="N87">
        <v>0.9609649122807017</v>
      </c>
      <c r="O87">
        <v>1</v>
      </c>
      <c r="P87">
        <v>0.9977678571428572</v>
      </c>
      <c r="Q87">
        <v>0.9981</v>
      </c>
      <c r="R87">
        <v>1</v>
      </c>
      <c r="S87">
        <v>0.9105820105820105</v>
      </c>
      <c r="U8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7">
        <v>0.979</v>
      </c>
      <c r="W87">
        <v>1</v>
      </c>
      <c r="X87">
        <v>1</v>
      </c>
      <c r="Y87">
        <v>0.667</v>
      </c>
      <c r="Z87">
        <v>0.991</v>
      </c>
      <c r="AA87">
        <v>1</v>
      </c>
      <c r="AB87">
        <v>0.956</v>
      </c>
      <c r="AC87">
        <v>0.935</v>
      </c>
      <c r="AD87">
        <v>1</v>
      </c>
      <c r="AE87">
        <v>1</v>
      </c>
      <c r="AF87">
        <v>0.994</v>
      </c>
      <c r="AG87">
        <v>1</v>
      </c>
      <c r="AH8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88" xml:space="preserve">
      <c r="A88">
        <v>45895</v>
      </c>
      <c r="B88" t="str">
        <v>Region 4</v>
      </c>
      <c r="C88" t="str">
        <v>Juanda Airport Surabaya</v>
      </c>
      <c r="D88" t="str">
        <v>SUB</v>
      </c>
      <c r="E88">
        <v>0.899999999999999</v>
      </c>
      <c r="F88">
        <v>1</v>
      </c>
      <c r="G88">
        <v>1</v>
      </c>
      <c r="H88">
        <v>1</v>
      </c>
      <c r="I88">
        <v>1</v>
      </c>
      <c r="J88">
        <v>1</v>
      </c>
      <c r="K88">
        <v>0.9867</v>
      </c>
      <c r="M88">
        <v>0.9812</v>
      </c>
      <c r="N88">
        <v>0.9609649122807017</v>
      </c>
      <c r="O88">
        <v>1</v>
      </c>
      <c r="P88">
        <v>0.9977678571428572</v>
      </c>
      <c r="Q88">
        <v>0.9981</v>
      </c>
      <c r="R88">
        <v>1</v>
      </c>
      <c r="S88">
        <v>0.9105820105820105</v>
      </c>
      <c r="U8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8">
        <v>0.979</v>
      </c>
      <c r="W88">
        <v>1</v>
      </c>
      <c r="X88">
        <v>1</v>
      </c>
      <c r="Y88">
        <v>0.667</v>
      </c>
      <c r="Z88">
        <v>0.991</v>
      </c>
      <c r="AA88">
        <v>1</v>
      </c>
      <c r="AB88">
        <v>0.956</v>
      </c>
      <c r="AC88">
        <v>0.935</v>
      </c>
      <c r="AD88">
        <v>1</v>
      </c>
      <c r="AE88">
        <v>1</v>
      </c>
      <c r="AF88">
        <v>0.994</v>
      </c>
      <c r="AG88">
        <v>1</v>
      </c>
      <c r="AH8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89" xml:space="preserve">
      <c r="A89">
        <v>45896</v>
      </c>
      <c r="B89" t="str">
        <v>Region 4</v>
      </c>
      <c r="C89" t="str">
        <v>Juanda Airport Surabaya</v>
      </c>
      <c r="D89" t="str">
        <v>SUB</v>
      </c>
      <c r="E89">
        <v>0.899999999999999</v>
      </c>
      <c r="F89">
        <v>1</v>
      </c>
      <c r="G89">
        <v>1</v>
      </c>
      <c r="H89">
        <v>1</v>
      </c>
      <c r="I89">
        <v>1</v>
      </c>
      <c r="J89">
        <v>1</v>
      </c>
      <c r="K89">
        <v>0.9867</v>
      </c>
      <c r="M89">
        <v>0.9812</v>
      </c>
      <c r="N89">
        <v>0.9609649122807017</v>
      </c>
      <c r="O89">
        <v>1</v>
      </c>
      <c r="P89">
        <v>0.9977678571428572</v>
      </c>
      <c r="Q89">
        <v>0.9981</v>
      </c>
      <c r="R89">
        <v>1</v>
      </c>
      <c r="S89">
        <v>0.9105820105820105</v>
      </c>
      <c r="U8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89">
        <v>0.979</v>
      </c>
      <c r="W89">
        <v>1</v>
      </c>
      <c r="X89">
        <v>1</v>
      </c>
      <c r="Y89">
        <v>0.667</v>
      </c>
      <c r="Z89">
        <v>0.991</v>
      </c>
      <c r="AA89">
        <v>1</v>
      </c>
      <c r="AB89">
        <v>0.956</v>
      </c>
      <c r="AC89">
        <v>0.935</v>
      </c>
      <c r="AD89">
        <v>1</v>
      </c>
      <c r="AE89">
        <v>1</v>
      </c>
      <c r="AF89">
        <v>0.994</v>
      </c>
      <c r="AG89">
        <v>1</v>
      </c>
      <c r="AH8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0" xml:space="preserve">
      <c r="A90">
        <v>45897</v>
      </c>
      <c r="B90" t="str">
        <v>Region 4</v>
      </c>
      <c r="C90" t="str">
        <v>Juanda Airport Surabaya</v>
      </c>
      <c r="D90" t="str">
        <v>SUB</v>
      </c>
      <c r="E90">
        <v>0.899999999999999</v>
      </c>
      <c r="F90">
        <v>1</v>
      </c>
      <c r="G90">
        <v>1</v>
      </c>
      <c r="H90">
        <v>1</v>
      </c>
      <c r="I90">
        <v>1</v>
      </c>
      <c r="J90">
        <v>1</v>
      </c>
      <c r="K90">
        <v>0.9867</v>
      </c>
      <c r="M90">
        <v>0.9812</v>
      </c>
      <c r="N90">
        <v>0.9609649122807017</v>
      </c>
      <c r="O90">
        <v>1</v>
      </c>
      <c r="P90">
        <v>0.9977678571428572</v>
      </c>
      <c r="Q90">
        <v>0.9981</v>
      </c>
      <c r="R90">
        <v>1</v>
      </c>
      <c r="S90">
        <v>0.9105820105820105</v>
      </c>
      <c r="U9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0">
        <v>0.979</v>
      </c>
      <c r="W90">
        <v>1</v>
      </c>
      <c r="X90">
        <v>1</v>
      </c>
      <c r="Y90">
        <v>0.667</v>
      </c>
      <c r="Z90">
        <v>0.991</v>
      </c>
      <c r="AA90">
        <v>1</v>
      </c>
      <c r="AB90">
        <v>0.956</v>
      </c>
      <c r="AC90">
        <v>0.935</v>
      </c>
      <c r="AD90">
        <v>1</v>
      </c>
      <c r="AE90">
        <v>1</v>
      </c>
      <c r="AF90">
        <v>0.994</v>
      </c>
      <c r="AG90">
        <v>1</v>
      </c>
      <c r="AH9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1" xml:space="preserve">
      <c r="A91">
        <v>45898</v>
      </c>
      <c r="B91" t="str">
        <v>Region 4</v>
      </c>
      <c r="C91" t="str">
        <v>Juanda Airport Surabaya</v>
      </c>
      <c r="D91" t="str">
        <v>SUB</v>
      </c>
      <c r="E91">
        <v>0.899999999999999</v>
      </c>
      <c r="F91">
        <v>1</v>
      </c>
      <c r="G91">
        <v>1</v>
      </c>
      <c r="H91">
        <v>1</v>
      </c>
      <c r="I91">
        <v>1</v>
      </c>
      <c r="J91">
        <v>1</v>
      </c>
      <c r="K91">
        <v>0.9867</v>
      </c>
      <c r="M91">
        <v>0.9812</v>
      </c>
      <c r="N91">
        <v>0.9609649122807017</v>
      </c>
      <c r="O91">
        <v>1</v>
      </c>
      <c r="P91">
        <v>0.9977678571428572</v>
      </c>
      <c r="Q91">
        <v>0.9981</v>
      </c>
      <c r="R91">
        <v>1</v>
      </c>
      <c r="S91">
        <v>0.9105820105820105</v>
      </c>
      <c r="U9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1">
        <v>0.979</v>
      </c>
      <c r="W91">
        <v>1</v>
      </c>
      <c r="X91">
        <v>1</v>
      </c>
      <c r="Y91">
        <v>0.667</v>
      </c>
      <c r="Z91">
        <v>0.991</v>
      </c>
      <c r="AA91">
        <v>1</v>
      </c>
      <c r="AB91">
        <v>0.956</v>
      </c>
      <c r="AC91">
        <v>0.935</v>
      </c>
      <c r="AD91">
        <v>1</v>
      </c>
      <c r="AE91">
        <v>1</v>
      </c>
      <c r="AF91">
        <v>0.994</v>
      </c>
      <c r="AG91">
        <v>1</v>
      </c>
      <c r="AH9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2" xml:space="preserve">
      <c r="A92">
        <v>45899</v>
      </c>
      <c r="B92" t="str">
        <v>Region 4</v>
      </c>
      <c r="C92" t="str">
        <v>Juanda Airport Surabaya</v>
      </c>
      <c r="D92" t="str">
        <v>SUB</v>
      </c>
      <c r="E92">
        <v>0.9</v>
      </c>
      <c r="F92">
        <v>1</v>
      </c>
      <c r="G92">
        <v>1</v>
      </c>
      <c r="H92">
        <v>1</v>
      </c>
      <c r="I92">
        <v>1</v>
      </c>
      <c r="J92">
        <v>1</v>
      </c>
      <c r="K92">
        <v>0.9867</v>
      </c>
      <c r="M92">
        <v>0.9812</v>
      </c>
      <c r="N92">
        <v>0.9609649122807017</v>
      </c>
      <c r="O92">
        <v>1</v>
      </c>
      <c r="P92">
        <v>0.9977678571428572</v>
      </c>
      <c r="Q92">
        <v>0.9981</v>
      </c>
      <c r="R92">
        <v>1</v>
      </c>
      <c r="S92">
        <v>0.9105820105820105</v>
      </c>
      <c r="U9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2">
        <v>0.979</v>
      </c>
      <c r="W92">
        <v>1</v>
      </c>
      <c r="X92">
        <v>1</v>
      </c>
      <c r="Y92">
        <v>0.667</v>
      </c>
      <c r="Z92">
        <v>0.991</v>
      </c>
      <c r="AA92">
        <v>1</v>
      </c>
      <c r="AB92">
        <v>0.956</v>
      </c>
      <c r="AC92">
        <v>0.935</v>
      </c>
      <c r="AD92">
        <v>1</v>
      </c>
      <c r="AE92">
        <v>1</v>
      </c>
      <c r="AF92">
        <v>0.994</v>
      </c>
      <c r="AG92">
        <v>1</v>
      </c>
      <c r="AH9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3" xml:space="preserve">
      <c r="A93">
        <v>45900</v>
      </c>
      <c r="B93" t="str">
        <v>Region 4</v>
      </c>
      <c r="C93" t="str">
        <v>Juanda Airport Surabaya</v>
      </c>
      <c r="D93" t="str">
        <v>SUB</v>
      </c>
      <c r="E93">
        <v>0.9</v>
      </c>
      <c r="F93">
        <v>1</v>
      </c>
      <c r="G93">
        <v>1</v>
      </c>
      <c r="H93">
        <v>1</v>
      </c>
      <c r="I93">
        <v>1</v>
      </c>
      <c r="J93">
        <v>1</v>
      </c>
      <c r="K93">
        <v>0.9867</v>
      </c>
      <c r="M93">
        <v>0.9812</v>
      </c>
      <c r="N93">
        <v>0.9609649122807017</v>
      </c>
      <c r="O93">
        <v>1</v>
      </c>
      <c r="P93">
        <v>0.9977678571428572</v>
      </c>
      <c r="Q93">
        <v>0.9981</v>
      </c>
      <c r="R93">
        <v>1</v>
      </c>
      <c r="S93">
        <v>0.9105820105820105</v>
      </c>
      <c r="U9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3">
        <v>0.979</v>
      </c>
      <c r="W93">
        <v>1</v>
      </c>
      <c r="X93">
        <v>1</v>
      </c>
      <c r="Y93">
        <v>0.667</v>
      </c>
      <c r="Z93">
        <v>0.991</v>
      </c>
      <c r="AA93">
        <v>1</v>
      </c>
      <c r="AB93">
        <v>0.956</v>
      </c>
      <c r="AC93">
        <v>0.935</v>
      </c>
      <c r="AD93">
        <v>1</v>
      </c>
      <c r="AE93">
        <v>1</v>
      </c>
      <c r="AF93">
        <v>0.994</v>
      </c>
      <c r="AG93">
        <v>1</v>
      </c>
      <c r="AH9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4" xml:space="preserve">
      <c r="A94">
        <v>45901</v>
      </c>
      <c r="B94" t="str">
        <v>Region 4</v>
      </c>
      <c r="C94" t="str">
        <v>Juanda Airport Surabaya</v>
      </c>
      <c r="D94" t="str">
        <v>SUB</v>
      </c>
      <c r="E94">
        <v>0.9</v>
      </c>
      <c r="F94">
        <v>1</v>
      </c>
      <c r="G94">
        <v>1</v>
      </c>
      <c r="H94">
        <v>1</v>
      </c>
      <c r="I94">
        <v>1</v>
      </c>
      <c r="J94">
        <v>1</v>
      </c>
      <c r="K94">
        <v>0.9867</v>
      </c>
      <c r="M94">
        <v>0.9812</v>
      </c>
      <c r="N94">
        <v>0.9609649122807017</v>
      </c>
      <c r="O94">
        <v>1</v>
      </c>
      <c r="P94">
        <v>0.9977678571428572</v>
      </c>
      <c r="Q94">
        <v>0.9981</v>
      </c>
      <c r="R94">
        <v>1</v>
      </c>
      <c r="S94">
        <v>0.9105820105820105</v>
      </c>
      <c r="U9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4">
        <v>0.979</v>
      </c>
      <c r="W94">
        <v>1</v>
      </c>
      <c r="X94">
        <v>1</v>
      </c>
      <c r="Y94">
        <v>0.667</v>
      </c>
      <c r="Z94">
        <v>0.991</v>
      </c>
      <c r="AA94">
        <v>1</v>
      </c>
      <c r="AB94">
        <v>0.956</v>
      </c>
      <c r="AC94">
        <v>0.935</v>
      </c>
      <c r="AD94">
        <v>1</v>
      </c>
      <c r="AE94">
        <v>1</v>
      </c>
      <c r="AF94">
        <v>0.994</v>
      </c>
      <c r="AG94">
        <v>1</v>
      </c>
      <c r="AH9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5" xml:space="preserve">
      <c r="A95">
        <v>45902</v>
      </c>
      <c r="B95" t="str">
        <v>Region 4</v>
      </c>
      <c r="C95" t="str">
        <v>Juanda Airport Surabaya</v>
      </c>
      <c r="D95" t="str">
        <v>SUB</v>
      </c>
      <c r="E95">
        <v>0.9</v>
      </c>
      <c r="F95">
        <v>1</v>
      </c>
      <c r="G95">
        <v>1</v>
      </c>
      <c r="H95">
        <v>1</v>
      </c>
      <c r="I95">
        <v>1</v>
      </c>
      <c r="J95">
        <v>1</v>
      </c>
      <c r="K95">
        <v>0.9867</v>
      </c>
      <c r="M95">
        <v>0.9812</v>
      </c>
      <c r="N95">
        <v>0.9609649122807017</v>
      </c>
      <c r="O95">
        <v>1</v>
      </c>
      <c r="P95">
        <v>0.9977678571428572</v>
      </c>
      <c r="Q95">
        <v>0.9981</v>
      </c>
      <c r="R95">
        <v>1</v>
      </c>
      <c r="S95">
        <v>0.9105820105820105</v>
      </c>
      <c r="U9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5">
        <v>0.979</v>
      </c>
      <c r="W95">
        <v>1</v>
      </c>
      <c r="X95">
        <v>1</v>
      </c>
      <c r="Y95">
        <v>0.667</v>
      </c>
      <c r="Z95">
        <v>0.991</v>
      </c>
      <c r="AA95">
        <v>1</v>
      </c>
      <c r="AB95">
        <v>0.956</v>
      </c>
      <c r="AC95">
        <v>0.935</v>
      </c>
      <c r="AD95">
        <v>1</v>
      </c>
      <c r="AE95">
        <v>1</v>
      </c>
      <c r="AF95">
        <v>0.994</v>
      </c>
      <c r="AG95">
        <v>1</v>
      </c>
      <c r="AH9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6" xml:space="preserve">
      <c r="A96">
        <v>45903</v>
      </c>
      <c r="B96" t="str">
        <v>Region 4</v>
      </c>
      <c r="C96" t="str">
        <v>Juanda Airport Surabaya</v>
      </c>
      <c r="D96" t="str">
        <v>SUB</v>
      </c>
      <c r="E96">
        <v>0.9</v>
      </c>
      <c r="F96">
        <v>1</v>
      </c>
      <c r="G96">
        <v>1</v>
      </c>
      <c r="H96">
        <v>1</v>
      </c>
      <c r="I96">
        <v>1</v>
      </c>
      <c r="J96">
        <v>1</v>
      </c>
      <c r="K96">
        <v>0.9867</v>
      </c>
      <c r="M96">
        <v>0.9812</v>
      </c>
      <c r="N96">
        <v>0.9609649122807017</v>
      </c>
      <c r="O96">
        <v>1</v>
      </c>
      <c r="P96">
        <v>0.9977678571428572</v>
      </c>
      <c r="Q96">
        <v>0.9981</v>
      </c>
      <c r="R96">
        <v>1</v>
      </c>
      <c r="S96">
        <v>0.9105820105820105</v>
      </c>
      <c r="U9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6">
        <v>0.979</v>
      </c>
      <c r="W96">
        <v>1</v>
      </c>
      <c r="X96">
        <v>1</v>
      </c>
      <c r="Y96">
        <v>0.667</v>
      </c>
      <c r="Z96">
        <v>0.991</v>
      </c>
      <c r="AA96">
        <v>1</v>
      </c>
      <c r="AB96">
        <v>0.956</v>
      </c>
      <c r="AC96">
        <v>0.935</v>
      </c>
      <c r="AD96">
        <v>1</v>
      </c>
      <c r="AE96">
        <v>1</v>
      </c>
      <c r="AF96">
        <v>0.994</v>
      </c>
      <c r="AG96">
        <v>1</v>
      </c>
      <c r="AH9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7" xml:space="preserve">
      <c r="A97">
        <v>45904</v>
      </c>
      <c r="B97" t="str">
        <v>Region 4</v>
      </c>
      <c r="C97" t="str">
        <v>Juanda Airport Surabaya</v>
      </c>
      <c r="D97" t="str">
        <v>SUB</v>
      </c>
      <c r="E97">
        <v>0.9</v>
      </c>
      <c r="F97">
        <v>1</v>
      </c>
      <c r="G97">
        <v>1</v>
      </c>
      <c r="H97">
        <v>1</v>
      </c>
      <c r="I97">
        <v>1</v>
      </c>
      <c r="J97">
        <v>1</v>
      </c>
      <c r="K97">
        <v>0.9867</v>
      </c>
      <c r="M97">
        <v>0.9812</v>
      </c>
      <c r="N97">
        <v>0.9609649122807017</v>
      </c>
      <c r="O97">
        <v>1</v>
      </c>
      <c r="P97">
        <v>0.9977678571428572</v>
      </c>
      <c r="Q97">
        <v>0.9981</v>
      </c>
      <c r="R97">
        <v>1</v>
      </c>
      <c r="S97">
        <v>0.9105820105820105</v>
      </c>
      <c r="U9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7">
        <v>0.979</v>
      </c>
      <c r="W97">
        <v>1</v>
      </c>
      <c r="X97">
        <v>1</v>
      </c>
      <c r="Y97">
        <v>0.667</v>
      </c>
      <c r="Z97">
        <v>0.991</v>
      </c>
      <c r="AA97">
        <v>1</v>
      </c>
      <c r="AB97">
        <v>0.956</v>
      </c>
      <c r="AC97">
        <v>0.935</v>
      </c>
      <c r="AD97">
        <v>1</v>
      </c>
      <c r="AE97">
        <v>1</v>
      </c>
      <c r="AF97">
        <v>0.994</v>
      </c>
      <c r="AG97">
        <v>1</v>
      </c>
      <c r="AH9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8" xml:space="preserve">
      <c r="A98">
        <v>45905</v>
      </c>
      <c r="B98" t="str">
        <v>Region 4</v>
      </c>
      <c r="C98" t="str">
        <v>Juanda Airport Surabaya</v>
      </c>
      <c r="D98" t="str">
        <v>SUB</v>
      </c>
      <c r="E98">
        <v>0.9</v>
      </c>
      <c r="F98">
        <v>1</v>
      </c>
      <c r="G98">
        <v>1</v>
      </c>
      <c r="H98">
        <v>1</v>
      </c>
      <c r="I98">
        <v>1</v>
      </c>
      <c r="J98">
        <v>1</v>
      </c>
      <c r="K98">
        <v>0.9867</v>
      </c>
      <c r="M98">
        <v>0.9812</v>
      </c>
      <c r="N98">
        <v>0.9609649122807017</v>
      </c>
      <c r="O98">
        <v>1</v>
      </c>
      <c r="P98">
        <v>0.9977678571428572</v>
      </c>
      <c r="Q98">
        <v>0.9981</v>
      </c>
      <c r="R98">
        <v>1</v>
      </c>
      <c r="S98">
        <v>0.9105820105820105</v>
      </c>
      <c r="U9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8">
        <v>0.958</v>
      </c>
      <c r="W98">
        <v>1</v>
      </c>
      <c r="X98">
        <v>1</v>
      </c>
      <c r="Y98">
        <v>0.333</v>
      </c>
      <c r="Z98">
        <v>0.991</v>
      </c>
      <c r="AA98">
        <v>1</v>
      </c>
      <c r="AB98">
        <v>0.956</v>
      </c>
      <c r="AC98">
        <v>0.935</v>
      </c>
      <c r="AD98">
        <v>1</v>
      </c>
      <c r="AE98">
        <v>1</v>
      </c>
      <c r="AF98">
        <v>0.994</v>
      </c>
      <c r="AG98">
        <v>1</v>
      </c>
      <c r="AH9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99" xml:space="preserve">
      <c r="A99">
        <v>45906</v>
      </c>
      <c r="B99" t="str">
        <v>Region 4</v>
      </c>
      <c r="C99" t="str">
        <v>Juanda Airport Surabaya</v>
      </c>
      <c r="D99" t="str">
        <v>SUB</v>
      </c>
      <c r="E99">
        <v>0.9</v>
      </c>
      <c r="F99">
        <v>1</v>
      </c>
      <c r="G99">
        <v>1</v>
      </c>
      <c r="H99">
        <v>1</v>
      </c>
      <c r="I99">
        <v>1</v>
      </c>
      <c r="J99">
        <v>1</v>
      </c>
      <c r="K99">
        <v>0.9867</v>
      </c>
      <c r="M99">
        <v>0.9812</v>
      </c>
      <c r="N99">
        <v>0.9609649122807017</v>
      </c>
      <c r="O99">
        <v>1</v>
      </c>
      <c r="P99">
        <v>0.9977678571428572</v>
      </c>
      <c r="Q99">
        <v>0.9981</v>
      </c>
      <c r="R99">
        <v>1</v>
      </c>
      <c r="S99">
        <v>0.9105820105820105</v>
      </c>
      <c r="U9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99">
        <v>0.979</v>
      </c>
      <c r="W99">
        <v>1</v>
      </c>
      <c r="X99">
        <v>1</v>
      </c>
      <c r="Y99">
        <v>0.333</v>
      </c>
      <c r="Z99">
        <v>0.991</v>
      </c>
      <c r="AA99">
        <v>1</v>
      </c>
      <c r="AB99">
        <v>0.956</v>
      </c>
      <c r="AC99">
        <v>0.935</v>
      </c>
      <c r="AD99">
        <v>1</v>
      </c>
      <c r="AE99">
        <v>1</v>
      </c>
      <c r="AF99">
        <v>0.994</v>
      </c>
      <c r="AG99">
        <v>1</v>
      </c>
      <c r="AH9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0" xml:space="preserve">
      <c r="A100">
        <v>45907</v>
      </c>
      <c r="B100" t="str">
        <v>Region 4</v>
      </c>
      <c r="C100" t="str">
        <v>Juanda Airport Surabaya</v>
      </c>
      <c r="D100" t="str">
        <v>SUB</v>
      </c>
      <c r="E100">
        <v>0.9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0.9867</v>
      </c>
      <c r="M100">
        <v>0.9812</v>
      </c>
      <c r="N100">
        <v>0.9609649122807017</v>
      </c>
      <c r="O100">
        <v>1</v>
      </c>
      <c r="P100">
        <v>0.9977678571428572</v>
      </c>
      <c r="Q100">
        <v>0.9981</v>
      </c>
      <c r="R100">
        <v>1</v>
      </c>
      <c r="S100">
        <v>0.9105820105820105</v>
      </c>
      <c r="U10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0">
        <v>0.958</v>
      </c>
      <c r="W100">
        <v>1</v>
      </c>
      <c r="X100">
        <v>1</v>
      </c>
      <c r="Y100">
        <v>0.333</v>
      </c>
      <c r="Z100">
        <v>0.991</v>
      </c>
      <c r="AA100">
        <v>1</v>
      </c>
      <c r="AB100">
        <v>0.956</v>
      </c>
      <c r="AC100">
        <v>0.935</v>
      </c>
      <c r="AD100">
        <v>1</v>
      </c>
      <c r="AE100">
        <v>1</v>
      </c>
      <c r="AF100">
        <v>0.994</v>
      </c>
      <c r="AG100">
        <v>1</v>
      </c>
      <c r="AH10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1" xml:space="preserve">
      <c r="A101">
        <v>45908</v>
      </c>
      <c r="B101" t="str">
        <v>Region 4</v>
      </c>
      <c r="C101" t="str">
        <v>Juanda Airport Surabaya</v>
      </c>
      <c r="D101" t="str">
        <v>SUB</v>
      </c>
      <c r="E101">
        <v>0.9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0.9867</v>
      </c>
      <c r="M101">
        <v>0.9812</v>
      </c>
      <c r="N101">
        <v>0.9609649122807017</v>
      </c>
      <c r="O101">
        <v>1</v>
      </c>
      <c r="P101">
        <v>0.9977678571428572</v>
      </c>
      <c r="Q101">
        <v>0.9981</v>
      </c>
      <c r="R101">
        <v>1</v>
      </c>
      <c r="S101">
        <v>0.9105820105820105</v>
      </c>
      <c r="U10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1">
        <v>0.979</v>
      </c>
      <c r="W101">
        <v>1</v>
      </c>
      <c r="X101">
        <v>1</v>
      </c>
      <c r="Y101">
        <v>0.333</v>
      </c>
      <c r="Z101">
        <v>0.991</v>
      </c>
      <c r="AA101">
        <v>1</v>
      </c>
      <c r="AB101">
        <v>0.956</v>
      </c>
      <c r="AC101">
        <v>0.935</v>
      </c>
      <c r="AD101">
        <v>1</v>
      </c>
      <c r="AE101">
        <v>1</v>
      </c>
      <c r="AF101">
        <v>0.994</v>
      </c>
      <c r="AG101">
        <v>1</v>
      </c>
      <c r="AH10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2" xml:space="preserve">
      <c r="A102">
        <v>45909</v>
      </c>
      <c r="B102" t="str">
        <v>Region 4</v>
      </c>
      <c r="C102" t="str">
        <v>Juanda Airport Surabaya</v>
      </c>
      <c r="D102" t="str">
        <v>SUB</v>
      </c>
      <c r="E102">
        <v>0.9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0.9867</v>
      </c>
      <c r="M102">
        <v>0.9812</v>
      </c>
      <c r="N102">
        <v>0.9609649122807017</v>
      </c>
      <c r="O102">
        <v>1</v>
      </c>
      <c r="P102">
        <v>0.9977678571428572</v>
      </c>
      <c r="Q102">
        <v>0.9981</v>
      </c>
      <c r="R102">
        <v>1</v>
      </c>
      <c r="S102">
        <v>0.9105820105820105</v>
      </c>
      <c r="U10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2">
        <v>0.979</v>
      </c>
      <c r="W102">
        <v>1</v>
      </c>
      <c r="X102">
        <v>1</v>
      </c>
      <c r="Y102">
        <v>0.333</v>
      </c>
      <c r="Z102">
        <v>0.991</v>
      </c>
      <c r="AA102">
        <v>1</v>
      </c>
      <c r="AB102">
        <v>0.792</v>
      </c>
      <c r="AC102">
        <v>0.935</v>
      </c>
      <c r="AD102">
        <v>1</v>
      </c>
      <c r="AE102">
        <v>1</v>
      </c>
      <c r="AF102">
        <v>0.994</v>
      </c>
      <c r="AG102">
        <v>1</v>
      </c>
      <c r="AH10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3" xml:space="preserve">
      <c r="A103">
        <v>45910</v>
      </c>
      <c r="B103" t="str">
        <v>Region 4</v>
      </c>
      <c r="C103" t="str">
        <v>Juanda Airport Surabaya</v>
      </c>
      <c r="D103" t="str">
        <v>SUB</v>
      </c>
      <c r="E103">
        <v>0.9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0.9867</v>
      </c>
      <c r="M103">
        <v>0.9812</v>
      </c>
      <c r="N103">
        <v>0.9609649122807017</v>
      </c>
      <c r="O103">
        <v>1</v>
      </c>
      <c r="P103">
        <v>0.9977678571428572</v>
      </c>
      <c r="Q103">
        <v>0.9981</v>
      </c>
      <c r="R103">
        <v>1</v>
      </c>
      <c r="S103">
        <v>0.9105820105820105</v>
      </c>
      <c r="U10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3">
        <v>0.979</v>
      </c>
      <c r="W103">
        <v>1</v>
      </c>
      <c r="X103">
        <v>1</v>
      </c>
      <c r="Y103">
        <v>0.333</v>
      </c>
      <c r="Z103">
        <v>0.991</v>
      </c>
      <c r="AA103">
        <v>1</v>
      </c>
      <c r="AB103">
        <v>0.792</v>
      </c>
      <c r="AC103">
        <v>0.935</v>
      </c>
      <c r="AD103">
        <v>1</v>
      </c>
      <c r="AE103">
        <v>1</v>
      </c>
      <c r="AF103">
        <v>0.994</v>
      </c>
      <c r="AG103">
        <v>1</v>
      </c>
      <c r="AH10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4" xml:space="preserve">
      <c r="A104">
        <v>45911</v>
      </c>
      <c r="B104" t="str">
        <v>Region 4</v>
      </c>
      <c r="C104" t="str">
        <v>Juanda Airport Surabaya</v>
      </c>
      <c r="D104" t="str">
        <v>SUB</v>
      </c>
      <c r="E104">
        <v>0.9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0.9867</v>
      </c>
      <c r="M104">
        <v>0.9812</v>
      </c>
      <c r="N104">
        <v>0.9609649122807017</v>
      </c>
      <c r="O104">
        <v>1</v>
      </c>
      <c r="P104">
        <v>0.9977678571428572</v>
      </c>
      <c r="Q104">
        <v>0.9981</v>
      </c>
      <c r="R104">
        <v>1</v>
      </c>
      <c r="S104">
        <v>0.9105820105820105</v>
      </c>
      <c r="U10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4">
        <v>0.979</v>
      </c>
      <c r="W104">
        <v>1</v>
      </c>
      <c r="X104">
        <v>1</v>
      </c>
      <c r="Y104">
        <v>0.333</v>
      </c>
      <c r="Z104">
        <v>0.991</v>
      </c>
      <c r="AA104">
        <v>1</v>
      </c>
      <c r="AB104">
        <v>0.792</v>
      </c>
      <c r="AC104">
        <v>0.935</v>
      </c>
      <c r="AD104">
        <v>1</v>
      </c>
      <c r="AE104">
        <v>1</v>
      </c>
      <c r="AF104">
        <v>0.994</v>
      </c>
      <c r="AG104">
        <v>1</v>
      </c>
      <c r="AH10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5" xml:space="preserve">
      <c r="A105">
        <v>45912</v>
      </c>
      <c r="B105" t="str">
        <v>Region 4</v>
      </c>
      <c r="C105" t="str">
        <v>Juanda Airport Surabaya</v>
      </c>
      <c r="D105" t="str">
        <v>SUB</v>
      </c>
      <c r="E105">
        <v>0.9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0.9867</v>
      </c>
      <c r="M105">
        <v>0.9812</v>
      </c>
      <c r="N105">
        <v>0.9609649122807017</v>
      </c>
      <c r="O105">
        <v>1</v>
      </c>
      <c r="P105">
        <v>0.9977678571428572</v>
      </c>
      <c r="Q105">
        <v>0.9981</v>
      </c>
      <c r="R105">
        <v>1</v>
      </c>
      <c r="S105">
        <v>0.9105820105820105</v>
      </c>
      <c r="U10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5">
        <v>0.979</v>
      </c>
      <c r="W105">
        <v>1</v>
      </c>
      <c r="X105">
        <v>1</v>
      </c>
      <c r="Y105">
        <v>0.333</v>
      </c>
      <c r="Z105">
        <v>0.991</v>
      </c>
      <c r="AA105">
        <v>1</v>
      </c>
      <c r="AB105">
        <v>0.792</v>
      </c>
      <c r="AC105">
        <v>0.935</v>
      </c>
      <c r="AD105">
        <v>1</v>
      </c>
      <c r="AE105">
        <v>1</v>
      </c>
      <c r="AF105">
        <v>0.994</v>
      </c>
      <c r="AG105">
        <v>1</v>
      </c>
      <c r="AH10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6" xml:space="preserve">
      <c r="A106">
        <v>45913</v>
      </c>
      <c r="B106" t="str">
        <v>Region 4</v>
      </c>
      <c r="C106" t="str">
        <v>Juanda Airport Surabaya</v>
      </c>
      <c r="D106" t="str">
        <v>SUB</v>
      </c>
      <c r="E106">
        <v>0.9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0.9867</v>
      </c>
      <c r="M106">
        <v>0.9812</v>
      </c>
      <c r="N106">
        <v>0.9609649122807017</v>
      </c>
      <c r="O106">
        <v>1</v>
      </c>
      <c r="P106">
        <v>0.9977678571428572</v>
      </c>
      <c r="Q106">
        <v>0.9981</v>
      </c>
      <c r="R106">
        <v>1</v>
      </c>
      <c r="S106">
        <v>0.9105820105820105</v>
      </c>
      <c r="U10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6">
        <v>0.979</v>
      </c>
      <c r="W106">
        <v>1</v>
      </c>
      <c r="X106">
        <v>1</v>
      </c>
      <c r="Y106">
        <v>0.333</v>
      </c>
      <c r="Z106">
        <v>0.991</v>
      </c>
      <c r="AA106">
        <v>1</v>
      </c>
      <c r="AB106">
        <v>0.792</v>
      </c>
      <c r="AC106">
        <v>0.935</v>
      </c>
      <c r="AD106">
        <v>1</v>
      </c>
      <c r="AE106">
        <v>1</v>
      </c>
      <c r="AF106">
        <v>0.994</v>
      </c>
      <c r="AG106">
        <v>1</v>
      </c>
      <c r="AH10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7" xml:space="preserve">
      <c r="A107">
        <v>45914</v>
      </c>
      <c r="B107" t="str">
        <v>Region 4</v>
      </c>
      <c r="C107" t="str">
        <v>Juanda Airport Surabaya</v>
      </c>
      <c r="D107" t="str">
        <v>SUB</v>
      </c>
      <c r="E107">
        <v>0.9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0.9867</v>
      </c>
      <c r="M107">
        <v>0.9812</v>
      </c>
      <c r="N107">
        <v>0.9609649122807017</v>
      </c>
      <c r="O107">
        <v>1</v>
      </c>
      <c r="P107">
        <v>0.9977678571428572</v>
      </c>
      <c r="Q107">
        <v>0.9981</v>
      </c>
      <c r="R107">
        <v>1</v>
      </c>
      <c r="S107">
        <v>0.9105820105820105</v>
      </c>
      <c r="U10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7">
        <v>0.979</v>
      </c>
      <c r="W107">
        <v>1</v>
      </c>
      <c r="X107">
        <v>1</v>
      </c>
      <c r="Y107">
        <v>0.333</v>
      </c>
      <c r="Z107">
        <v>0.991</v>
      </c>
      <c r="AA107">
        <v>1</v>
      </c>
      <c r="AB107">
        <v>0.792</v>
      </c>
      <c r="AC107">
        <v>0.935</v>
      </c>
      <c r="AD107">
        <v>1</v>
      </c>
      <c r="AE107">
        <v>1</v>
      </c>
      <c r="AF107">
        <v>0.994</v>
      </c>
      <c r="AG107">
        <v>1</v>
      </c>
      <c r="AH10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8" xml:space="preserve">
      <c r="A108">
        <v>45915</v>
      </c>
      <c r="B108" t="str">
        <v>Region 4</v>
      </c>
      <c r="C108" t="str">
        <v>Juanda Airport Surabaya</v>
      </c>
      <c r="D108" t="str">
        <v>SUB</v>
      </c>
      <c r="E108">
        <v>0.9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0.9867</v>
      </c>
      <c r="M108">
        <v>0.9812</v>
      </c>
      <c r="N108">
        <v>0.9609649122807017</v>
      </c>
      <c r="O108">
        <v>1</v>
      </c>
      <c r="P108">
        <v>0.9977678571428572</v>
      </c>
      <c r="Q108">
        <v>0.9981</v>
      </c>
      <c r="R108">
        <v>1</v>
      </c>
      <c r="S108">
        <v>0.9105820105820105</v>
      </c>
      <c r="U10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8">
        <v>0.979</v>
      </c>
      <c r="W108">
        <v>1</v>
      </c>
      <c r="X108">
        <v>1</v>
      </c>
      <c r="Y108">
        <v>0.333</v>
      </c>
      <c r="Z108">
        <v>0.991</v>
      </c>
      <c r="AA108">
        <v>1</v>
      </c>
      <c r="AB108">
        <v>0.792</v>
      </c>
      <c r="AC108">
        <v>0.935</v>
      </c>
      <c r="AD108">
        <v>1</v>
      </c>
      <c r="AE108">
        <v>1</v>
      </c>
      <c r="AF108">
        <v>0.994</v>
      </c>
      <c r="AG108">
        <v>1</v>
      </c>
      <c r="AH10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09" xml:space="preserve">
      <c r="A109">
        <v>45916</v>
      </c>
      <c r="B109" t="str">
        <v>Region 4</v>
      </c>
      <c r="C109" t="str">
        <v>Juanda Airport Surabaya</v>
      </c>
      <c r="D109" t="str">
        <v>SUB</v>
      </c>
      <c r="E109">
        <v>0.9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0.9867</v>
      </c>
      <c r="M109">
        <v>0.9812</v>
      </c>
      <c r="N109">
        <v>0.9609649122807017</v>
      </c>
      <c r="O109">
        <v>1</v>
      </c>
      <c r="P109">
        <v>0.9977678571428572</v>
      </c>
      <c r="Q109">
        <v>0.9981</v>
      </c>
      <c r="R109">
        <v>1</v>
      </c>
      <c r="S109">
        <v>0.9105820105820105</v>
      </c>
      <c r="U10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09">
        <v>0.979</v>
      </c>
      <c r="W109">
        <v>1</v>
      </c>
      <c r="X109">
        <v>1</v>
      </c>
      <c r="Y109">
        <v>0.333</v>
      </c>
      <c r="Z109">
        <v>0.991</v>
      </c>
      <c r="AA109">
        <v>1</v>
      </c>
      <c r="AB109">
        <v>0.792</v>
      </c>
      <c r="AC109">
        <v>0.935</v>
      </c>
      <c r="AD109">
        <v>1</v>
      </c>
      <c r="AE109">
        <v>1</v>
      </c>
      <c r="AF109">
        <v>0.994</v>
      </c>
      <c r="AG109">
        <v>1</v>
      </c>
      <c r="AH10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0" xml:space="preserve">
      <c r="A110">
        <v>45917</v>
      </c>
      <c r="B110" t="str">
        <v>Region 4</v>
      </c>
      <c r="C110" t="str">
        <v>Juanda Airport Surabaya</v>
      </c>
      <c r="D110" t="str">
        <v>SUB</v>
      </c>
      <c r="E110">
        <v>0.9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0.9867</v>
      </c>
      <c r="M110">
        <v>0.9812</v>
      </c>
      <c r="N110">
        <v>0.9609649122807017</v>
      </c>
      <c r="O110">
        <v>1</v>
      </c>
      <c r="P110">
        <v>0.9977678571428572</v>
      </c>
      <c r="Q110">
        <v>0.9981</v>
      </c>
      <c r="R110">
        <v>1</v>
      </c>
      <c r="S110">
        <v>0.9105820105820105</v>
      </c>
      <c r="U11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0">
        <v>0.979</v>
      </c>
      <c r="W110">
        <v>1</v>
      </c>
      <c r="X110">
        <v>1</v>
      </c>
      <c r="Y110">
        <v>0.333</v>
      </c>
      <c r="Z110">
        <v>0.991</v>
      </c>
      <c r="AA110">
        <v>1</v>
      </c>
      <c r="AB110">
        <v>0.792</v>
      </c>
      <c r="AC110">
        <v>0.935</v>
      </c>
      <c r="AD110">
        <v>1</v>
      </c>
      <c r="AE110">
        <v>1</v>
      </c>
      <c r="AF110">
        <v>0.994</v>
      </c>
      <c r="AG110">
        <v>1</v>
      </c>
      <c r="AH11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1" xml:space="preserve">
      <c r="A111">
        <v>45918</v>
      </c>
      <c r="B111" t="str">
        <v>Region 4</v>
      </c>
      <c r="C111" t="str">
        <v>Juanda Airport Surabaya</v>
      </c>
      <c r="D111" t="str">
        <v>SUB</v>
      </c>
      <c r="E111">
        <v>0.9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0.9867</v>
      </c>
      <c r="M111">
        <v>0.9812</v>
      </c>
      <c r="N111">
        <v>0.9609649122807017</v>
      </c>
      <c r="O111">
        <v>1</v>
      </c>
      <c r="P111">
        <v>0.9977678571428572</v>
      </c>
      <c r="Q111">
        <v>0.9981</v>
      </c>
      <c r="R111">
        <v>1</v>
      </c>
      <c r="S111">
        <v>0.9105820105820105</v>
      </c>
      <c r="U11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1">
        <v>0.979</v>
      </c>
      <c r="W111">
        <v>1</v>
      </c>
      <c r="X111">
        <v>1</v>
      </c>
      <c r="Y111">
        <v>0.333</v>
      </c>
      <c r="Z111">
        <v>0.991</v>
      </c>
      <c r="AA111">
        <v>1</v>
      </c>
      <c r="AB111">
        <v>0.792</v>
      </c>
      <c r="AC111">
        <v>0.935</v>
      </c>
      <c r="AD111">
        <v>1</v>
      </c>
      <c r="AE111">
        <v>1</v>
      </c>
      <c r="AF111">
        <v>0.994</v>
      </c>
      <c r="AG111">
        <v>1</v>
      </c>
      <c r="AH11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2" xml:space="preserve">
      <c r="A112">
        <v>45919</v>
      </c>
      <c r="B112" t="str">
        <v>Region 4</v>
      </c>
      <c r="C112" t="str">
        <v>Juanda Airport Surabaya</v>
      </c>
      <c r="D112" t="str">
        <v>SUB</v>
      </c>
      <c r="E112">
        <v>0.9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0.9867</v>
      </c>
      <c r="M112">
        <v>0.9812</v>
      </c>
      <c r="N112">
        <v>0.9609649122807017</v>
      </c>
      <c r="O112">
        <v>1</v>
      </c>
      <c r="P112">
        <v>0.9977678571428572</v>
      </c>
      <c r="Q112">
        <v>0.9981</v>
      </c>
      <c r="R112">
        <v>1</v>
      </c>
      <c r="S112">
        <v>0.9105820105820105</v>
      </c>
      <c r="U11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2">
        <v>0.979</v>
      </c>
      <c r="W112">
        <v>1</v>
      </c>
      <c r="X112">
        <v>1</v>
      </c>
      <c r="Y112">
        <v>0.333</v>
      </c>
      <c r="Z112">
        <v>0.991</v>
      </c>
      <c r="AA112">
        <v>1</v>
      </c>
      <c r="AB112">
        <v>0.792</v>
      </c>
      <c r="AC112">
        <v>0.935</v>
      </c>
      <c r="AD112">
        <v>1</v>
      </c>
      <c r="AE112">
        <v>1</v>
      </c>
      <c r="AF112">
        <v>0.994</v>
      </c>
      <c r="AG112">
        <v>1</v>
      </c>
      <c r="AH11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3" xml:space="preserve">
      <c r="A113">
        <v>45920</v>
      </c>
      <c r="B113" t="str">
        <v>Region 4</v>
      </c>
      <c r="C113" t="str">
        <v>Juanda Airport Surabaya</v>
      </c>
      <c r="D113" t="str">
        <v>SUB</v>
      </c>
      <c r="E113">
        <v>0.9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0.9867</v>
      </c>
      <c r="M113">
        <v>0.9812</v>
      </c>
      <c r="N113">
        <v>0.9609649122807017</v>
      </c>
      <c r="O113">
        <v>1</v>
      </c>
      <c r="P113">
        <v>0.9977678571428572</v>
      </c>
      <c r="Q113">
        <v>0.9981</v>
      </c>
      <c r="R113">
        <v>1</v>
      </c>
      <c r="S113">
        <v>0.9105820105820105</v>
      </c>
      <c r="U11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3">
        <v>0.979</v>
      </c>
      <c r="W113">
        <v>1</v>
      </c>
      <c r="X113">
        <v>1</v>
      </c>
      <c r="Y113">
        <v>0.333</v>
      </c>
      <c r="Z113">
        <v>0.991</v>
      </c>
      <c r="AA113">
        <v>1</v>
      </c>
      <c r="AB113">
        <v>0.792</v>
      </c>
      <c r="AC113">
        <v>0.935</v>
      </c>
      <c r="AD113">
        <v>1</v>
      </c>
      <c r="AE113">
        <v>1</v>
      </c>
      <c r="AF113">
        <v>0.994</v>
      </c>
      <c r="AG113">
        <v>1</v>
      </c>
      <c r="AH11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4" xml:space="preserve">
      <c r="A114">
        <v>45921</v>
      </c>
      <c r="B114" t="str">
        <v>Region 4</v>
      </c>
      <c r="C114" t="str">
        <v>Juanda Airport Surabaya</v>
      </c>
      <c r="D114" t="str">
        <v>SUB</v>
      </c>
      <c r="E114">
        <v>0.9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0.9867</v>
      </c>
      <c r="M114">
        <v>0.9812</v>
      </c>
      <c r="N114">
        <v>0.9609649122807017</v>
      </c>
      <c r="O114">
        <v>1</v>
      </c>
      <c r="P114">
        <v>0.9977678571428572</v>
      </c>
      <c r="Q114">
        <v>0.9981</v>
      </c>
      <c r="R114">
        <v>1</v>
      </c>
      <c r="S114">
        <v>0.9105820105820105</v>
      </c>
      <c r="U11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4">
        <v>0.979</v>
      </c>
      <c r="W114">
        <v>1</v>
      </c>
      <c r="X114">
        <v>1</v>
      </c>
      <c r="Y114">
        <v>0.333</v>
      </c>
      <c r="Z114">
        <v>0.991</v>
      </c>
      <c r="AA114">
        <v>1</v>
      </c>
      <c r="AB114">
        <v>0.792</v>
      </c>
      <c r="AC114">
        <v>0.935</v>
      </c>
      <c r="AD114">
        <v>1</v>
      </c>
      <c r="AE114">
        <v>1</v>
      </c>
      <c r="AF114">
        <v>0.994</v>
      </c>
      <c r="AG114">
        <v>1</v>
      </c>
      <c r="AH11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5" xml:space="preserve">
      <c r="A115">
        <v>45922</v>
      </c>
      <c r="B115" t="str">
        <v>Region 4</v>
      </c>
      <c r="C115" t="str">
        <v>Juanda Airport Surabaya</v>
      </c>
      <c r="D115" t="str">
        <v>SUB</v>
      </c>
      <c r="E115">
        <v>0.899999999999999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0.9867</v>
      </c>
      <c r="M115">
        <v>0.9812</v>
      </c>
      <c r="N115">
        <v>0.9609649122807017</v>
      </c>
      <c r="O115">
        <v>1</v>
      </c>
      <c r="P115">
        <v>0.9977678571428572</v>
      </c>
      <c r="Q115">
        <v>0.9981</v>
      </c>
      <c r="R115">
        <v>1</v>
      </c>
      <c r="S115">
        <v>0.9105820105820105</v>
      </c>
      <c r="U11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5">
        <v>0.979</v>
      </c>
      <c r="W115">
        <v>1</v>
      </c>
      <c r="X115">
        <v>1</v>
      </c>
      <c r="Y115">
        <v>0.333</v>
      </c>
      <c r="Z115">
        <v>0.991</v>
      </c>
      <c r="AA115">
        <v>1</v>
      </c>
      <c r="AB115">
        <v>0.792</v>
      </c>
      <c r="AC115">
        <v>0.935</v>
      </c>
      <c r="AD115">
        <v>1</v>
      </c>
      <c r="AE115">
        <v>1</v>
      </c>
      <c r="AF115">
        <v>0.994</v>
      </c>
      <c r="AG115">
        <v>1</v>
      </c>
      <c r="AH11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6" xml:space="preserve">
      <c r="A116">
        <v>45923</v>
      </c>
      <c r="B116" t="str">
        <v>Region 4</v>
      </c>
      <c r="C116" t="str">
        <v>Juanda Airport Surabaya</v>
      </c>
      <c r="D116" t="str">
        <v>SUB</v>
      </c>
      <c r="E116">
        <v>0.899999999999999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0.9867</v>
      </c>
      <c r="M116">
        <v>0.9812</v>
      </c>
      <c r="N116">
        <v>0.9609649122807017</v>
      </c>
      <c r="O116">
        <v>1</v>
      </c>
      <c r="P116">
        <v>0.9977678571428572</v>
      </c>
      <c r="Q116">
        <v>0.9981</v>
      </c>
      <c r="R116">
        <v>1</v>
      </c>
      <c r="S116">
        <v>0.9105820105820105</v>
      </c>
      <c r="U11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6">
        <v>0.979</v>
      </c>
      <c r="W116">
        <v>1</v>
      </c>
      <c r="X116">
        <v>1</v>
      </c>
      <c r="Y116">
        <v>0.333</v>
      </c>
      <c r="Z116">
        <v>0.991</v>
      </c>
      <c r="AA116">
        <v>1</v>
      </c>
      <c r="AB116">
        <v>0.792</v>
      </c>
      <c r="AC116">
        <v>0.935</v>
      </c>
      <c r="AD116">
        <v>1</v>
      </c>
      <c r="AE116">
        <v>1</v>
      </c>
      <c r="AF116">
        <v>0.994</v>
      </c>
      <c r="AG116">
        <v>1</v>
      </c>
      <c r="AH11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7" xml:space="preserve">
      <c r="A117">
        <v>45924</v>
      </c>
      <c r="B117" t="str">
        <v>Region 4</v>
      </c>
      <c r="C117" t="str">
        <v>Juanda Airport Surabaya</v>
      </c>
      <c r="D117" t="str">
        <v>SUB</v>
      </c>
      <c r="E117">
        <v>0.899999999999999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0.9867</v>
      </c>
      <c r="M117">
        <v>0.9812</v>
      </c>
      <c r="N117">
        <v>0.9609649122807017</v>
      </c>
      <c r="O117">
        <v>1</v>
      </c>
      <c r="P117">
        <v>0.9977678571428572</v>
      </c>
      <c r="Q117">
        <v>0.9981</v>
      </c>
      <c r="R117">
        <v>1</v>
      </c>
      <c r="S117">
        <v>0.9105820105820105</v>
      </c>
      <c r="U11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7">
        <v>0.979</v>
      </c>
      <c r="W117">
        <v>1</v>
      </c>
      <c r="X117">
        <v>1</v>
      </c>
      <c r="Y117">
        <v>0.333</v>
      </c>
      <c r="Z117">
        <v>0.991</v>
      </c>
      <c r="AA117">
        <v>1</v>
      </c>
      <c r="AB117">
        <v>0.792</v>
      </c>
      <c r="AC117">
        <v>0.935</v>
      </c>
      <c r="AD117">
        <v>1</v>
      </c>
      <c r="AE117">
        <v>1</v>
      </c>
      <c r="AF117">
        <v>0.994</v>
      </c>
      <c r="AG117">
        <v>1</v>
      </c>
      <c r="AH11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8" xml:space="preserve">
      <c r="A118">
        <v>45925</v>
      </c>
      <c r="B118" t="str">
        <v>Region 4</v>
      </c>
      <c r="C118" t="str">
        <v>Juanda Airport Surabaya</v>
      </c>
      <c r="D118" t="str">
        <v>SUB</v>
      </c>
      <c r="E118">
        <v>0.899999999999999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0.9867</v>
      </c>
      <c r="M118">
        <v>0.9812</v>
      </c>
      <c r="N118">
        <v>0.9609649122807017</v>
      </c>
      <c r="O118">
        <v>1</v>
      </c>
      <c r="P118">
        <v>0.9977678571428572</v>
      </c>
      <c r="Q118">
        <v>0.9981</v>
      </c>
      <c r="R118">
        <v>1</v>
      </c>
      <c r="S118">
        <v>0.9105820105820105</v>
      </c>
      <c r="U11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8">
        <v>0.979</v>
      </c>
      <c r="W118">
        <v>1</v>
      </c>
      <c r="X118">
        <v>1</v>
      </c>
      <c r="Y118">
        <v>0.333</v>
      </c>
      <c r="Z118">
        <v>0.991</v>
      </c>
      <c r="AA118">
        <v>1</v>
      </c>
      <c r="AB118">
        <v>0.792</v>
      </c>
      <c r="AC118">
        <v>0.935</v>
      </c>
      <c r="AD118">
        <v>1</v>
      </c>
      <c r="AE118">
        <v>1</v>
      </c>
      <c r="AF118">
        <v>0.994</v>
      </c>
      <c r="AG118">
        <v>1</v>
      </c>
      <c r="AH11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19" xml:space="preserve">
      <c r="A119">
        <v>45926</v>
      </c>
      <c r="B119" t="str">
        <v>Region 4</v>
      </c>
      <c r="C119" t="str">
        <v>Juanda Airport Surabaya</v>
      </c>
      <c r="D119" t="str">
        <v>SUB</v>
      </c>
      <c r="E119">
        <v>0.899999999999999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0.9867</v>
      </c>
      <c r="M119">
        <v>0.9812</v>
      </c>
      <c r="N119">
        <v>0.9609649122807017</v>
      </c>
      <c r="O119">
        <v>1</v>
      </c>
      <c r="P119">
        <v>0.9977678571428572</v>
      </c>
      <c r="Q119">
        <v>0.9981</v>
      </c>
      <c r="R119">
        <v>1</v>
      </c>
      <c r="S119">
        <v>0.9105820105820105</v>
      </c>
      <c r="U11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19">
        <v>0.979</v>
      </c>
      <c r="W119">
        <v>1</v>
      </c>
      <c r="X119">
        <v>1</v>
      </c>
      <c r="Y119">
        <v>0.333</v>
      </c>
      <c r="Z119">
        <v>0.991</v>
      </c>
      <c r="AA119">
        <v>1</v>
      </c>
      <c r="AB119">
        <v>0.792</v>
      </c>
      <c r="AC119">
        <v>0.935</v>
      </c>
      <c r="AD119">
        <v>1</v>
      </c>
      <c r="AE119">
        <v>1</v>
      </c>
      <c r="AF119">
        <v>0.994</v>
      </c>
      <c r="AG119">
        <v>1</v>
      </c>
      <c r="AH11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0" xml:space="preserve">
      <c r="A120">
        <v>45927</v>
      </c>
      <c r="B120" t="str">
        <v>Region 4</v>
      </c>
      <c r="C120" t="str">
        <v>Juanda Airport Surabaya</v>
      </c>
      <c r="D120" t="str">
        <v>SUB</v>
      </c>
      <c r="E120">
        <v>0.899999999999999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0.9867</v>
      </c>
      <c r="M120">
        <v>0.9812</v>
      </c>
      <c r="N120">
        <v>0.9609649122807017</v>
      </c>
      <c r="O120">
        <v>1</v>
      </c>
      <c r="P120">
        <v>0.9977678571428572</v>
      </c>
      <c r="Q120">
        <v>0.9981</v>
      </c>
      <c r="R120">
        <v>1</v>
      </c>
      <c r="S120">
        <v>0.9105820105820105</v>
      </c>
      <c r="U12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0">
        <v>0.979</v>
      </c>
      <c r="W120">
        <v>1</v>
      </c>
      <c r="X120">
        <v>1</v>
      </c>
      <c r="Y120">
        <v>0.333</v>
      </c>
      <c r="Z120">
        <v>0.991</v>
      </c>
      <c r="AA120">
        <v>1</v>
      </c>
      <c r="AB120">
        <v>0.792</v>
      </c>
      <c r="AC120">
        <v>0.935</v>
      </c>
      <c r="AD120">
        <v>1</v>
      </c>
      <c r="AE120">
        <v>1</v>
      </c>
      <c r="AF120">
        <v>0.994</v>
      </c>
      <c r="AG120">
        <v>1</v>
      </c>
      <c r="AH12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1" xml:space="preserve">
      <c r="A121">
        <v>45928</v>
      </c>
      <c r="B121" t="str">
        <v>Region 4</v>
      </c>
      <c r="C121" t="str">
        <v>Juanda Airport Surabaya</v>
      </c>
      <c r="D121" t="str">
        <v>SUB</v>
      </c>
      <c r="E121">
        <v>0.899999999999999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0.9867</v>
      </c>
      <c r="M121">
        <v>0.9812</v>
      </c>
      <c r="N121">
        <v>0.9609649122807017</v>
      </c>
      <c r="O121">
        <v>1</v>
      </c>
      <c r="P121">
        <v>0.9977678571428572</v>
      </c>
      <c r="Q121">
        <v>0.9981</v>
      </c>
      <c r="R121">
        <v>1</v>
      </c>
      <c r="S121">
        <v>0.9105820105820105</v>
      </c>
      <c r="U12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1">
        <v>0.979</v>
      </c>
      <c r="W121">
        <v>1</v>
      </c>
      <c r="X121">
        <v>1</v>
      </c>
      <c r="Y121">
        <v>0.333</v>
      </c>
      <c r="Z121">
        <v>0.991</v>
      </c>
      <c r="AA121">
        <v>1</v>
      </c>
      <c r="AB121">
        <v>0.792</v>
      </c>
      <c r="AC121">
        <v>0.935</v>
      </c>
      <c r="AD121">
        <v>1</v>
      </c>
      <c r="AE121">
        <v>1</v>
      </c>
      <c r="AF121">
        <v>0.994</v>
      </c>
      <c r="AG121">
        <v>1</v>
      </c>
      <c r="AH12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2" xml:space="preserve">
      <c r="A122">
        <v>45929</v>
      </c>
      <c r="B122" t="str">
        <v>Region 4</v>
      </c>
      <c r="C122" t="str">
        <v>Juanda Airport Surabaya</v>
      </c>
      <c r="D122" t="str">
        <v>SUB</v>
      </c>
      <c r="E122">
        <v>0.9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0.9867</v>
      </c>
      <c r="M122">
        <v>0.9812</v>
      </c>
      <c r="N122">
        <v>0.9609649122807017</v>
      </c>
      <c r="O122">
        <v>1</v>
      </c>
      <c r="P122">
        <v>0.9977678571428572</v>
      </c>
      <c r="Q122">
        <v>0.9981</v>
      </c>
      <c r="R122">
        <v>1</v>
      </c>
      <c r="S122">
        <v>0.9105820105820105</v>
      </c>
      <c r="U12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2">
        <v>0.979</v>
      </c>
      <c r="W122">
        <v>1</v>
      </c>
      <c r="X122">
        <v>1</v>
      </c>
      <c r="Y122">
        <v>0.333</v>
      </c>
      <c r="Z122">
        <v>0.991</v>
      </c>
      <c r="AA122">
        <v>1</v>
      </c>
      <c r="AB122">
        <v>0.792</v>
      </c>
      <c r="AC122">
        <v>0.935</v>
      </c>
      <c r="AD122">
        <v>1</v>
      </c>
      <c r="AE122">
        <v>1</v>
      </c>
      <c r="AF122">
        <v>0.994</v>
      </c>
      <c r="AG122">
        <v>1</v>
      </c>
      <c r="AH12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3" xml:space="preserve">
      <c r="A123">
        <v>45930</v>
      </c>
      <c r="B123" t="str">
        <v>Region 4</v>
      </c>
      <c r="C123" t="str">
        <v>Juanda Airport Surabaya</v>
      </c>
      <c r="D123" t="str">
        <v>SUB</v>
      </c>
      <c r="E123">
        <v>0.9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0.9867</v>
      </c>
      <c r="M123">
        <v>0.9812</v>
      </c>
      <c r="N123">
        <v>0.9609649122807017</v>
      </c>
      <c r="O123">
        <v>1</v>
      </c>
      <c r="P123">
        <v>0.9977678571428572</v>
      </c>
      <c r="Q123">
        <v>0.9981</v>
      </c>
      <c r="R123">
        <v>1</v>
      </c>
      <c r="S123">
        <v>0.9105820105820105</v>
      </c>
      <c r="U12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3">
        <v>0.979</v>
      </c>
      <c r="W123">
        <v>1</v>
      </c>
      <c r="X123">
        <v>1</v>
      </c>
      <c r="Y123">
        <v>0.333</v>
      </c>
      <c r="Z123">
        <v>0.989</v>
      </c>
      <c r="AA123">
        <v>1</v>
      </c>
      <c r="AB123">
        <v>0.792</v>
      </c>
      <c r="AC123">
        <v>0.935</v>
      </c>
      <c r="AD123">
        <v>1</v>
      </c>
      <c r="AE123">
        <v>1</v>
      </c>
      <c r="AF123">
        <v>0.994</v>
      </c>
      <c r="AG123">
        <v>1</v>
      </c>
      <c r="AH12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4" xml:space="preserve">
      <c r="A124">
        <v>45931</v>
      </c>
      <c r="B124" t="str">
        <v>Region 4</v>
      </c>
      <c r="C124" t="str">
        <v>Juanda Airport Surabaya</v>
      </c>
      <c r="D124" t="str">
        <v>SUB</v>
      </c>
      <c r="E124">
        <v>0.9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0.9867</v>
      </c>
      <c r="M124">
        <v>0.9812</v>
      </c>
      <c r="N124">
        <v>0.9609649122807017</v>
      </c>
      <c r="O124">
        <v>1</v>
      </c>
      <c r="P124">
        <v>0.9977678571428572</v>
      </c>
      <c r="Q124">
        <v>0.9981</v>
      </c>
      <c r="R124">
        <v>1</v>
      </c>
      <c r="S124">
        <v>0.9105820105820105</v>
      </c>
      <c r="U12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4">
        <v>0.979</v>
      </c>
      <c r="W124">
        <v>1</v>
      </c>
      <c r="X124">
        <v>1</v>
      </c>
      <c r="Y124">
        <v>0.333</v>
      </c>
      <c r="Z124">
        <v>0.989</v>
      </c>
      <c r="AA124">
        <v>1</v>
      </c>
      <c r="AB124">
        <v>0.792</v>
      </c>
      <c r="AC124">
        <v>0.935</v>
      </c>
      <c r="AD124">
        <v>1</v>
      </c>
      <c r="AE124">
        <v>1</v>
      </c>
      <c r="AF124">
        <v>0.994</v>
      </c>
      <c r="AG124">
        <v>1</v>
      </c>
      <c r="AH12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5" xml:space="preserve">
      <c r="A125">
        <v>45932</v>
      </c>
      <c r="B125" t="str">
        <v>Region 4</v>
      </c>
      <c r="C125" t="str">
        <v>Juanda Airport Surabaya</v>
      </c>
      <c r="D125" t="str">
        <v>SUB</v>
      </c>
      <c r="E125">
        <v>0.9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0.9867</v>
      </c>
      <c r="M125">
        <v>0.9812</v>
      </c>
      <c r="N125">
        <v>0.9609649122807017</v>
      </c>
      <c r="O125">
        <v>1</v>
      </c>
      <c r="P125">
        <v>0.9977678571428572</v>
      </c>
      <c r="Q125">
        <v>0.9981</v>
      </c>
      <c r="R125">
        <v>1</v>
      </c>
      <c r="S125">
        <v>0.9105820105820105</v>
      </c>
      <c r="U12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5">
        <v>0.979</v>
      </c>
      <c r="W125">
        <v>1</v>
      </c>
      <c r="X125">
        <v>1</v>
      </c>
      <c r="Y125">
        <v>0.333</v>
      </c>
      <c r="Z125">
        <v>0.989</v>
      </c>
      <c r="AA125">
        <v>1</v>
      </c>
      <c r="AB125">
        <v>0.792</v>
      </c>
      <c r="AC125">
        <v>0.935</v>
      </c>
      <c r="AD125">
        <v>1</v>
      </c>
      <c r="AE125">
        <v>1</v>
      </c>
      <c r="AF125">
        <v>0.994</v>
      </c>
      <c r="AG125">
        <v>1</v>
      </c>
      <c r="AH12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6" xml:space="preserve">
      <c r="A126">
        <v>45933</v>
      </c>
      <c r="B126" t="str">
        <v>Region 4</v>
      </c>
      <c r="C126" t="str">
        <v>Juanda Airport Surabaya</v>
      </c>
      <c r="D126" t="str">
        <v>SUB</v>
      </c>
      <c r="E126">
        <v>0.9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0.9867</v>
      </c>
      <c r="M126">
        <v>0.9812</v>
      </c>
      <c r="N126">
        <v>0.9609649122807017</v>
      </c>
      <c r="O126">
        <v>1</v>
      </c>
      <c r="P126">
        <v>0.9977678571428572</v>
      </c>
      <c r="Q126">
        <v>0.9981</v>
      </c>
      <c r="R126">
        <v>1</v>
      </c>
      <c r="S126">
        <v>0.9105820105820105</v>
      </c>
      <c r="U12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6">
        <v>0.979</v>
      </c>
      <c r="W126">
        <v>1</v>
      </c>
      <c r="X126">
        <v>1</v>
      </c>
      <c r="Y126">
        <v>0.333</v>
      </c>
      <c r="Z126">
        <v>0.989</v>
      </c>
      <c r="AA126">
        <v>1</v>
      </c>
      <c r="AB126">
        <v>0.792</v>
      </c>
      <c r="AC126">
        <v>0.935</v>
      </c>
      <c r="AD126">
        <v>1</v>
      </c>
      <c r="AE126">
        <v>1</v>
      </c>
      <c r="AF126">
        <v>0.994</v>
      </c>
      <c r="AG126">
        <v>1</v>
      </c>
      <c r="AH12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7" xml:space="preserve">
      <c r="A127">
        <v>45934</v>
      </c>
      <c r="B127" t="str">
        <v>Region 4</v>
      </c>
      <c r="C127" t="str">
        <v>Juanda Airport Surabaya</v>
      </c>
      <c r="D127" t="str">
        <v>SUB</v>
      </c>
      <c r="E127">
        <v>0.9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0.9867</v>
      </c>
      <c r="M127">
        <v>0.9812</v>
      </c>
      <c r="N127">
        <v>0.9609649122807017</v>
      </c>
      <c r="O127">
        <v>1</v>
      </c>
      <c r="P127">
        <v>0.9977678571428572</v>
      </c>
      <c r="Q127">
        <v>0.9981</v>
      </c>
      <c r="R127">
        <v>1</v>
      </c>
      <c r="S127">
        <v>0.9105820105820105</v>
      </c>
      <c r="U12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7">
        <v>0.979</v>
      </c>
      <c r="W127">
        <v>1</v>
      </c>
      <c r="X127">
        <v>1</v>
      </c>
      <c r="Y127">
        <v>0.333</v>
      </c>
      <c r="Z127">
        <v>0.989</v>
      </c>
      <c r="AA127">
        <v>1</v>
      </c>
      <c r="AB127">
        <v>0.792</v>
      </c>
      <c r="AC127">
        <v>0.935</v>
      </c>
      <c r="AD127">
        <v>1</v>
      </c>
      <c r="AE127">
        <v>1</v>
      </c>
      <c r="AF127">
        <v>0.994</v>
      </c>
      <c r="AG127">
        <v>1</v>
      </c>
      <c r="AH12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8" xml:space="preserve">
      <c r="A128">
        <v>45935</v>
      </c>
      <c r="B128" t="str">
        <v>Region 4</v>
      </c>
      <c r="C128" t="str">
        <v>Juanda Airport Surabaya</v>
      </c>
      <c r="D128" t="str">
        <v>SUB</v>
      </c>
      <c r="E128">
        <v>0.9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0.9867</v>
      </c>
      <c r="M128">
        <v>0.9812</v>
      </c>
      <c r="N128">
        <v>0.9609649122807017</v>
      </c>
      <c r="O128">
        <v>1</v>
      </c>
      <c r="P128">
        <v>0.9977678571428572</v>
      </c>
      <c r="Q128">
        <v>0.9981</v>
      </c>
      <c r="R128">
        <v>1</v>
      </c>
      <c r="S128">
        <v>0.9105820105820105</v>
      </c>
      <c r="U12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8">
        <v>0.979</v>
      </c>
      <c r="W128">
        <v>1</v>
      </c>
      <c r="X128">
        <v>1</v>
      </c>
      <c r="Y128">
        <v>0.333</v>
      </c>
      <c r="Z128">
        <v>0.989</v>
      </c>
      <c r="AA128">
        <v>1</v>
      </c>
      <c r="AB128">
        <v>0.792</v>
      </c>
      <c r="AC128">
        <v>0.935</v>
      </c>
      <c r="AD128">
        <v>1</v>
      </c>
      <c r="AE128">
        <v>1</v>
      </c>
      <c r="AF128">
        <v>0.994</v>
      </c>
      <c r="AG128">
        <v>1</v>
      </c>
      <c r="AH12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29" xml:space="preserve">
      <c r="A129">
        <v>45936</v>
      </c>
      <c r="B129" t="str">
        <v>Region 4</v>
      </c>
      <c r="C129" t="str">
        <v>Juanda Airport Surabaya</v>
      </c>
      <c r="D129" t="str">
        <v>SUB</v>
      </c>
      <c r="E129">
        <v>0.9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0.9867</v>
      </c>
      <c r="M129">
        <v>0.9812</v>
      </c>
      <c r="N129">
        <v>0.9609649122807017</v>
      </c>
      <c r="O129">
        <v>1</v>
      </c>
      <c r="P129">
        <v>0.9977678571428572</v>
      </c>
      <c r="Q129">
        <v>0.9981</v>
      </c>
      <c r="R129">
        <v>1</v>
      </c>
      <c r="S129">
        <v>0.9105820105820105</v>
      </c>
      <c r="U12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29">
        <v>0.979</v>
      </c>
      <c r="W129">
        <v>1</v>
      </c>
      <c r="X129">
        <v>1</v>
      </c>
      <c r="Y129">
        <v>0.333</v>
      </c>
      <c r="Z129">
        <v>0.989</v>
      </c>
      <c r="AA129">
        <v>1</v>
      </c>
      <c r="AB129">
        <v>0.792</v>
      </c>
      <c r="AC129">
        <v>0.935</v>
      </c>
      <c r="AD129">
        <v>1</v>
      </c>
      <c r="AE129">
        <v>1</v>
      </c>
      <c r="AF129">
        <v>0.994</v>
      </c>
      <c r="AG129">
        <v>1</v>
      </c>
      <c r="AH12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0" xml:space="preserve">
      <c r="A130">
        <v>45937</v>
      </c>
      <c r="B130" t="str">
        <v>Region 4</v>
      </c>
      <c r="C130" t="str">
        <v>Juanda Airport Surabaya</v>
      </c>
      <c r="D130" t="str">
        <v>SUB</v>
      </c>
      <c r="E130">
        <v>0.9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0.9867</v>
      </c>
      <c r="M130">
        <v>0.9812</v>
      </c>
      <c r="N130">
        <v>0.9609649122807017</v>
      </c>
      <c r="O130">
        <v>1</v>
      </c>
      <c r="P130">
        <v>0.9977678571428572</v>
      </c>
      <c r="Q130">
        <v>0.9981</v>
      </c>
      <c r="R130">
        <v>1</v>
      </c>
      <c r="S130">
        <v>0.9105820105820105</v>
      </c>
      <c r="U13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0">
        <v>0.979</v>
      </c>
      <c r="W130">
        <v>1</v>
      </c>
      <c r="X130">
        <v>1</v>
      </c>
      <c r="Y130">
        <v>0.333</v>
      </c>
      <c r="Z130">
        <v>0.989</v>
      </c>
      <c r="AA130">
        <v>1</v>
      </c>
      <c r="AB130">
        <v>0.792</v>
      </c>
      <c r="AC130">
        <v>0.935</v>
      </c>
      <c r="AD130">
        <v>1</v>
      </c>
      <c r="AE130">
        <v>1</v>
      </c>
      <c r="AF130">
        <v>0.994</v>
      </c>
      <c r="AG130">
        <v>1</v>
      </c>
      <c r="AH13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1" xml:space="preserve">
      <c r="A131">
        <v>45938</v>
      </c>
      <c r="B131" t="str">
        <v>Region 4</v>
      </c>
      <c r="C131" t="str">
        <v>Juanda Airport Surabaya</v>
      </c>
      <c r="D131" t="str">
        <v>SUB</v>
      </c>
      <c r="E131">
        <v>0.9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0.9867</v>
      </c>
      <c r="M131">
        <v>0.9812</v>
      </c>
      <c r="N131">
        <v>0.9609649122807017</v>
      </c>
      <c r="O131">
        <v>1</v>
      </c>
      <c r="P131">
        <v>0.9977678571428572</v>
      </c>
      <c r="Q131">
        <v>0.9981</v>
      </c>
      <c r="R131">
        <v>1</v>
      </c>
      <c r="S131">
        <v>0.9105820105820105</v>
      </c>
      <c r="U13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1">
        <v>0.979</v>
      </c>
      <c r="W131">
        <v>1</v>
      </c>
      <c r="X131">
        <v>1</v>
      </c>
      <c r="Y131">
        <v>0.333</v>
      </c>
      <c r="Z131">
        <v>0.989</v>
      </c>
      <c r="AA131">
        <v>1</v>
      </c>
      <c r="AB131">
        <v>0.792</v>
      </c>
      <c r="AC131">
        <v>0.935</v>
      </c>
      <c r="AD131">
        <v>1</v>
      </c>
      <c r="AE131">
        <v>1</v>
      </c>
      <c r="AF131">
        <v>0.994</v>
      </c>
      <c r="AG131">
        <v>1</v>
      </c>
      <c r="AH13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2" xml:space="preserve">
      <c r="A132">
        <v>45939</v>
      </c>
      <c r="B132" t="str">
        <v>Region 4</v>
      </c>
      <c r="C132" t="str">
        <v>Juanda Airport Surabaya</v>
      </c>
      <c r="D132" t="str">
        <v>SUB</v>
      </c>
      <c r="E132">
        <v>0.9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0.9867</v>
      </c>
      <c r="M132">
        <v>0.9812</v>
      </c>
      <c r="N132">
        <v>0.9609649122807017</v>
      </c>
      <c r="O132">
        <v>1</v>
      </c>
      <c r="P132">
        <v>0.9977678571428572</v>
      </c>
      <c r="Q132">
        <v>0.9981</v>
      </c>
      <c r="R132">
        <v>1</v>
      </c>
      <c r="S132">
        <v>0.9105820105820105</v>
      </c>
      <c r="U13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2">
        <v>0.979</v>
      </c>
      <c r="W132">
        <v>1</v>
      </c>
      <c r="X132">
        <v>1</v>
      </c>
      <c r="Y132">
        <v>0.333</v>
      </c>
      <c r="Z132">
        <v>0.989</v>
      </c>
      <c r="AA132">
        <v>1</v>
      </c>
      <c r="AB132">
        <v>0.792</v>
      </c>
      <c r="AC132">
        <v>0.935</v>
      </c>
      <c r="AD132">
        <v>1</v>
      </c>
      <c r="AE132">
        <v>1</v>
      </c>
      <c r="AF132">
        <v>0.994</v>
      </c>
      <c r="AG132">
        <v>1</v>
      </c>
      <c r="AH13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3" xml:space="preserve">
      <c r="A133">
        <v>45940</v>
      </c>
      <c r="B133" t="str">
        <v>Region 4</v>
      </c>
      <c r="C133" t="str">
        <v>Juanda Airport Surabaya</v>
      </c>
      <c r="D133" t="str">
        <v>SUB</v>
      </c>
      <c r="E133">
        <v>0.9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0.9867</v>
      </c>
      <c r="M133">
        <v>0.9812</v>
      </c>
      <c r="N133">
        <v>0.9609649122807017</v>
      </c>
      <c r="O133">
        <v>1</v>
      </c>
      <c r="P133">
        <v>0.9977678571428572</v>
      </c>
      <c r="Q133">
        <v>0.9981</v>
      </c>
      <c r="R133">
        <v>1</v>
      </c>
      <c r="S133">
        <v>0.9105820105820105</v>
      </c>
      <c r="U13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3">
        <v>0.979</v>
      </c>
      <c r="W133">
        <v>1</v>
      </c>
      <c r="X133">
        <v>1</v>
      </c>
      <c r="Y133">
        <v>0.333</v>
      </c>
      <c r="Z133">
        <v>0.989</v>
      </c>
      <c r="AA133">
        <v>1</v>
      </c>
      <c r="AB133">
        <v>0.792</v>
      </c>
      <c r="AC133">
        <v>0.935</v>
      </c>
      <c r="AD133">
        <v>1</v>
      </c>
      <c r="AE133">
        <v>1</v>
      </c>
      <c r="AF133">
        <v>0.994</v>
      </c>
      <c r="AG133">
        <v>1</v>
      </c>
      <c r="AH13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4" xml:space="preserve">
      <c r="A134">
        <v>45941</v>
      </c>
      <c r="B134" t="str">
        <v>Region 4</v>
      </c>
      <c r="C134" t="str">
        <v>Juanda Airport Surabaya</v>
      </c>
      <c r="D134" t="str">
        <v>SUB</v>
      </c>
      <c r="E134">
        <v>0.9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0.9867</v>
      </c>
      <c r="M134">
        <v>0.9812</v>
      </c>
      <c r="N134">
        <v>0.9609649122807017</v>
      </c>
      <c r="O134">
        <v>1</v>
      </c>
      <c r="P134">
        <v>0.9977678571428572</v>
      </c>
      <c r="Q134">
        <v>0.9981</v>
      </c>
      <c r="R134">
        <v>1</v>
      </c>
      <c r="S134">
        <v>0.9105820105820105</v>
      </c>
      <c r="U13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4">
        <v>0.979</v>
      </c>
      <c r="W134">
        <v>1</v>
      </c>
      <c r="X134">
        <v>1</v>
      </c>
      <c r="Y134">
        <v>0.333</v>
      </c>
      <c r="Z134">
        <v>0.989</v>
      </c>
      <c r="AA134">
        <v>1</v>
      </c>
      <c r="AB134">
        <v>0.792</v>
      </c>
      <c r="AC134">
        <v>0.935</v>
      </c>
      <c r="AD134">
        <v>1</v>
      </c>
      <c r="AE134">
        <v>1</v>
      </c>
      <c r="AF134">
        <v>0.994</v>
      </c>
      <c r="AG134">
        <v>1</v>
      </c>
      <c r="AH13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5" xml:space="preserve">
      <c r="A135">
        <v>45942</v>
      </c>
      <c r="B135" t="str">
        <v>Region 4</v>
      </c>
      <c r="C135" t="str">
        <v>Juanda Airport Surabaya</v>
      </c>
      <c r="D135" t="str">
        <v>SUB</v>
      </c>
      <c r="E135">
        <v>0.9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0.9867</v>
      </c>
      <c r="M135">
        <v>0.9812</v>
      </c>
      <c r="N135">
        <v>0.9609649122807017</v>
      </c>
      <c r="O135">
        <v>1</v>
      </c>
      <c r="P135">
        <v>0.9977678571428572</v>
      </c>
      <c r="Q135">
        <v>0.9981</v>
      </c>
      <c r="R135">
        <v>1</v>
      </c>
      <c r="S135">
        <v>0.9105820105820105</v>
      </c>
      <c r="U13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5">
        <v>0.979</v>
      </c>
      <c r="W135">
        <v>1</v>
      </c>
      <c r="X135">
        <v>1</v>
      </c>
      <c r="Y135">
        <v>0.333</v>
      </c>
      <c r="Z135">
        <v>0.989</v>
      </c>
      <c r="AA135">
        <v>1</v>
      </c>
      <c r="AB135">
        <v>0.792</v>
      </c>
      <c r="AC135">
        <v>0.935</v>
      </c>
      <c r="AD135">
        <v>1</v>
      </c>
      <c r="AE135">
        <v>1</v>
      </c>
      <c r="AF135">
        <v>0.994</v>
      </c>
      <c r="AG135">
        <v>1</v>
      </c>
      <c r="AH13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6" xml:space="preserve">
      <c r="A136">
        <v>45943</v>
      </c>
      <c r="B136" t="str">
        <v>Region 4</v>
      </c>
      <c r="C136" t="str">
        <v>Juanda Airport Surabaya</v>
      </c>
      <c r="D136" t="str">
        <v>SUB</v>
      </c>
      <c r="E136">
        <v>0.9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0.9867</v>
      </c>
      <c r="M136">
        <v>0.9812</v>
      </c>
      <c r="N136">
        <v>0.9609649122807017</v>
      </c>
      <c r="O136">
        <v>1</v>
      </c>
      <c r="P136">
        <v>0.9977678571428572</v>
      </c>
      <c r="Q136">
        <v>0.9981</v>
      </c>
      <c r="R136">
        <v>1</v>
      </c>
      <c r="S136">
        <v>0.9105820105820105</v>
      </c>
      <c r="U13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6">
        <v>0.979</v>
      </c>
      <c r="W136">
        <v>1</v>
      </c>
      <c r="X136">
        <v>1</v>
      </c>
      <c r="Y136">
        <v>0.333</v>
      </c>
      <c r="Z136">
        <v>0.989</v>
      </c>
      <c r="AA136">
        <v>1</v>
      </c>
      <c r="AB136">
        <v>0.792</v>
      </c>
      <c r="AC136">
        <v>0.935</v>
      </c>
      <c r="AD136">
        <v>1</v>
      </c>
      <c r="AE136">
        <v>1</v>
      </c>
      <c r="AF136">
        <v>0.994</v>
      </c>
      <c r="AG136">
        <v>1</v>
      </c>
      <c r="AH13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7" xml:space="preserve">
      <c r="A137">
        <v>45944</v>
      </c>
      <c r="B137" t="str">
        <v>Region 4</v>
      </c>
      <c r="C137" t="str">
        <v>Juanda Airport Surabaya</v>
      </c>
      <c r="D137" t="str">
        <v>SUB</v>
      </c>
      <c r="E137">
        <v>0.9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0.9867</v>
      </c>
      <c r="M137">
        <v>0.9812</v>
      </c>
      <c r="N137">
        <v>0.9609649122807017</v>
      </c>
      <c r="O137">
        <v>1</v>
      </c>
      <c r="P137">
        <v>0.9977678571428572</v>
      </c>
      <c r="Q137">
        <v>0.9981</v>
      </c>
      <c r="R137">
        <v>1</v>
      </c>
      <c r="S137">
        <v>0.9105820105820105</v>
      </c>
      <c r="U13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7">
        <v>0.979</v>
      </c>
      <c r="W137">
        <v>1</v>
      </c>
      <c r="X137">
        <v>1</v>
      </c>
      <c r="Y137">
        <v>0.333</v>
      </c>
      <c r="Z137">
        <v>0.989</v>
      </c>
      <c r="AA137">
        <v>1</v>
      </c>
      <c r="AB137">
        <v>0.792</v>
      </c>
      <c r="AC137">
        <v>0.935</v>
      </c>
      <c r="AD137">
        <v>1</v>
      </c>
      <c r="AE137">
        <v>1</v>
      </c>
      <c r="AF137">
        <v>0.994</v>
      </c>
      <c r="AG137">
        <v>1</v>
      </c>
      <c r="AH13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8" xml:space="preserve">
      <c r="A138">
        <v>45945</v>
      </c>
      <c r="B138" t="str">
        <v>Region 4</v>
      </c>
      <c r="C138" t="str">
        <v>Juanda Airport Surabaya</v>
      </c>
      <c r="D138" t="str">
        <v>SUB</v>
      </c>
      <c r="E138">
        <v>0.9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0.9867</v>
      </c>
      <c r="M138">
        <v>0.9812</v>
      </c>
      <c r="N138">
        <v>0.9609649122807017</v>
      </c>
      <c r="O138">
        <v>1</v>
      </c>
      <c r="P138">
        <v>0.9977678571428572</v>
      </c>
      <c r="Q138">
        <v>0.9981</v>
      </c>
      <c r="R138">
        <v>1</v>
      </c>
      <c r="S138">
        <v>0.9105820105820105</v>
      </c>
      <c r="U13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8">
        <v>0.979</v>
      </c>
      <c r="W138">
        <v>1</v>
      </c>
      <c r="X138">
        <v>1</v>
      </c>
      <c r="Y138">
        <v>0.333</v>
      </c>
      <c r="Z138">
        <v>0.989</v>
      </c>
      <c r="AA138">
        <v>1</v>
      </c>
      <c r="AB138">
        <v>0.792</v>
      </c>
      <c r="AC138">
        <v>0.935</v>
      </c>
      <c r="AD138">
        <v>1</v>
      </c>
      <c r="AE138">
        <v>1</v>
      </c>
      <c r="AF138">
        <v>0.994</v>
      </c>
      <c r="AG138">
        <v>1</v>
      </c>
      <c r="AH13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39" xml:space="preserve">
      <c r="A139">
        <v>45946</v>
      </c>
      <c r="B139" t="str">
        <v>Region 4</v>
      </c>
      <c r="C139" t="str">
        <v>Juanda Airport Surabaya</v>
      </c>
      <c r="D139" t="str">
        <v>SUB</v>
      </c>
      <c r="E139">
        <v>0.9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0.9867</v>
      </c>
      <c r="M139">
        <v>0.9812</v>
      </c>
      <c r="N139">
        <v>0.9609649122807017</v>
      </c>
      <c r="O139">
        <v>1</v>
      </c>
      <c r="P139">
        <v>0.9977678571428572</v>
      </c>
      <c r="Q139">
        <v>0.9981</v>
      </c>
      <c r="R139">
        <v>1</v>
      </c>
      <c r="S139">
        <v>0.9105820105820105</v>
      </c>
      <c r="U13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39">
        <v>0.979</v>
      </c>
      <c r="W139">
        <v>1</v>
      </c>
      <c r="X139">
        <v>1</v>
      </c>
      <c r="Y139">
        <v>0.333</v>
      </c>
      <c r="Z139">
        <v>0.989</v>
      </c>
      <c r="AA139">
        <v>1</v>
      </c>
      <c r="AB139">
        <v>0.792</v>
      </c>
      <c r="AC139">
        <v>0.935</v>
      </c>
      <c r="AD139">
        <v>1</v>
      </c>
      <c r="AE139">
        <v>1</v>
      </c>
      <c r="AF139">
        <v>0.994</v>
      </c>
      <c r="AG139">
        <v>1</v>
      </c>
      <c r="AH13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0" xml:space="preserve">
      <c r="A140">
        <v>45947</v>
      </c>
      <c r="B140" t="str">
        <v>Region 4</v>
      </c>
      <c r="C140" t="str">
        <v>Juanda Airport Surabaya</v>
      </c>
      <c r="D140" t="str">
        <v>SUB</v>
      </c>
      <c r="E140">
        <v>0.9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0.9867</v>
      </c>
      <c r="M140">
        <v>0.9812</v>
      </c>
      <c r="N140">
        <v>0.9609649122807017</v>
      </c>
      <c r="O140">
        <v>1</v>
      </c>
      <c r="P140">
        <v>0.9977678571428572</v>
      </c>
      <c r="Q140">
        <v>0.9981</v>
      </c>
      <c r="R140">
        <v>1</v>
      </c>
      <c r="S140">
        <v>0.9105820105820105</v>
      </c>
      <c r="U14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0">
        <v>0.979</v>
      </c>
      <c r="W140">
        <v>1</v>
      </c>
      <c r="X140">
        <v>1</v>
      </c>
      <c r="Y140">
        <v>0.333</v>
      </c>
      <c r="Z140">
        <v>0.989</v>
      </c>
      <c r="AA140">
        <v>1</v>
      </c>
      <c r="AB140">
        <v>0.792</v>
      </c>
      <c r="AC140">
        <v>0.935</v>
      </c>
      <c r="AD140">
        <v>1</v>
      </c>
      <c r="AE140">
        <v>1</v>
      </c>
      <c r="AF140">
        <v>0.994</v>
      </c>
      <c r="AG140">
        <v>1</v>
      </c>
      <c r="AH14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1" xml:space="preserve">
      <c r="A141">
        <v>45948</v>
      </c>
      <c r="B141" t="str">
        <v>Region 4</v>
      </c>
      <c r="C141" t="str">
        <v>Juanda Airport Surabaya</v>
      </c>
      <c r="D141" t="str">
        <v>SUB</v>
      </c>
      <c r="E141">
        <v>0.9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0.9867</v>
      </c>
      <c r="M141">
        <v>0.9812</v>
      </c>
      <c r="N141">
        <v>0.9609649122807017</v>
      </c>
      <c r="O141">
        <v>1</v>
      </c>
      <c r="P141">
        <v>0.9977678571428572</v>
      </c>
      <c r="Q141">
        <v>0.9981</v>
      </c>
      <c r="R141">
        <v>1</v>
      </c>
      <c r="S141">
        <v>0.9105820105820105</v>
      </c>
      <c r="U14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1">
        <v>0.979</v>
      </c>
      <c r="W141">
        <v>1</v>
      </c>
      <c r="X141">
        <v>1</v>
      </c>
      <c r="Y141">
        <v>0.333</v>
      </c>
      <c r="Z141">
        <v>0.989</v>
      </c>
      <c r="AA141">
        <v>1</v>
      </c>
      <c r="AB141">
        <v>0.792</v>
      </c>
      <c r="AC141">
        <v>0.935</v>
      </c>
      <c r="AD141">
        <v>1</v>
      </c>
      <c r="AE141">
        <v>1</v>
      </c>
      <c r="AF141">
        <v>0.994</v>
      </c>
      <c r="AG141">
        <v>1</v>
      </c>
      <c r="AH14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2" xml:space="preserve">
      <c r="A142">
        <v>45949</v>
      </c>
      <c r="B142" t="str">
        <v>Region 4</v>
      </c>
      <c r="C142" t="str">
        <v>Juanda Airport Surabaya</v>
      </c>
      <c r="D142" t="str">
        <v>SUB</v>
      </c>
      <c r="E142">
        <v>0.9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0.9867</v>
      </c>
      <c r="M142">
        <v>0.9812</v>
      </c>
      <c r="N142">
        <v>0.9609649122807017</v>
      </c>
      <c r="O142">
        <v>1</v>
      </c>
      <c r="P142">
        <v>0.9977678571428572</v>
      </c>
      <c r="Q142">
        <v>0.9981</v>
      </c>
      <c r="R142">
        <v>1</v>
      </c>
      <c r="S142">
        <v>0.9105820105820105</v>
      </c>
      <c r="U14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2">
        <v>0.979</v>
      </c>
      <c r="W142">
        <v>1</v>
      </c>
      <c r="X142">
        <v>1</v>
      </c>
      <c r="Y142">
        <v>0.333</v>
      </c>
      <c r="Z142">
        <v>0.989</v>
      </c>
      <c r="AA142">
        <v>1</v>
      </c>
      <c r="AB142">
        <v>0.792</v>
      </c>
      <c r="AC142">
        <v>0.935</v>
      </c>
      <c r="AD142">
        <v>1</v>
      </c>
      <c r="AE142">
        <v>1</v>
      </c>
      <c r="AF142">
        <v>0.994</v>
      </c>
      <c r="AG142">
        <v>1</v>
      </c>
      <c r="AH14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3" xml:space="preserve">
      <c r="A143">
        <v>45950</v>
      </c>
      <c r="B143" t="str">
        <v>Region 4</v>
      </c>
      <c r="C143" t="str">
        <v>Juanda Airport Surabaya</v>
      </c>
      <c r="D143" t="str">
        <v>SUB</v>
      </c>
      <c r="E143">
        <v>0.9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0.9867</v>
      </c>
      <c r="M143">
        <v>0.9812</v>
      </c>
      <c r="N143">
        <v>0.9609649122807017</v>
      </c>
      <c r="O143">
        <v>1</v>
      </c>
      <c r="P143">
        <v>0.9977678571428572</v>
      </c>
      <c r="Q143">
        <v>0.9981</v>
      </c>
      <c r="R143">
        <v>1</v>
      </c>
      <c r="S143">
        <v>0.9105820105820105</v>
      </c>
      <c r="U14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3">
        <v>0.979</v>
      </c>
      <c r="W143">
        <v>1</v>
      </c>
      <c r="X143">
        <v>1</v>
      </c>
      <c r="Y143">
        <v>0.333</v>
      </c>
      <c r="Z143">
        <v>0.989</v>
      </c>
      <c r="AA143">
        <v>1</v>
      </c>
      <c r="AB143">
        <v>0.792</v>
      </c>
      <c r="AC143">
        <v>0.935</v>
      </c>
      <c r="AD143">
        <v>1</v>
      </c>
      <c r="AE143">
        <v>1</v>
      </c>
      <c r="AF143">
        <v>0.994</v>
      </c>
      <c r="AG143">
        <v>1</v>
      </c>
      <c r="AH14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4" xml:space="preserve">
      <c r="A144">
        <v>45951</v>
      </c>
      <c r="B144" t="str">
        <v>Region 4</v>
      </c>
      <c r="C144" t="str">
        <v>Juanda Airport Surabaya</v>
      </c>
      <c r="D144" t="str">
        <v>SUB</v>
      </c>
      <c r="E144">
        <v>0.9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0.9867</v>
      </c>
      <c r="M144">
        <v>0.9812</v>
      </c>
      <c r="N144">
        <v>0.9609649122807017</v>
      </c>
      <c r="O144">
        <v>1</v>
      </c>
      <c r="P144">
        <v>0.9977678571428572</v>
      </c>
      <c r="Q144">
        <v>0.9981</v>
      </c>
      <c r="R144">
        <v>1</v>
      </c>
      <c r="S144">
        <v>0.9105820105820105</v>
      </c>
      <c r="U14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4">
        <v>0.979</v>
      </c>
      <c r="W144">
        <v>1</v>
      </c>
      <c r="X144">
        <v>1</v>
      </c>
      <c r="Y144">
        <v>0.333</v>
      </c>
      <c r="Z144">
        <v>0.989</v>
      </c>
      <c r="AA144">
        <v>1</v>
      </c>
      <c r="AB144">
        <v>0.792</v>
      </c>
      <c r="AC144">
        <v>0.935</v>
      </c>
      <c r="AD144">
        <v>1</v>
      </c>
      <c r="AE144">
        <v>1</v>
      </c>
      <c r="AF144">
        <v>0.994</v>
      </c>
      <c r="AG144">
        <v>1</v>
      </c>
      <c r="AH14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 &amp; 1 unit ETD Rusak (over heat) pada filter fan dan part mirror negatif, proses perbaikan oleh pabrikan (masa garansi)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5" xml:space="preserve">
      <c r="A145">
        <v>45952</v>
      </c>
      <c r="B145" t="str">
        <v>Region 4</v>
      </c>
      <c r="C145" t="str">
        <v>Juanda Airport Surabaya</v>
      </c>
      <c r="D145" t="str">
        <v>SUB</v>
      </c>
      <c r="E145">
        <v>0.899999999999999</v>
      </c>
      <c r="F145">
        <v>1</v>
      </c>
      <c r="G145">
        <v>1</v>
      </c>
      <c r="H145">
        <v>1</v>
      </c>
      <c r="I145">
        <v>1</v>
      </c>
      <c r="J145">
        <v>1</v>
      </c>
      <c r="K145" t="str">
        <v>95,80%</v>
      </c>
      <c r="M145">
        <v>0.9812</v>
      </c>
      <c r="N145">
        <v>0.9609649122807017</v>
      </c>
      <c r="O145">
        <v>1</v>
      </c>
      <c r="P145">
        <v>0.9977678571428572</v>
      </c>
      <c r="Q145">
        <v>0.9981</v>
      </c>
      <c r="R145">
        <v>1</v>
      </c>
      <c r="S145">
        <v>0.9105820105820105</v>
      </c>
      <c r="U14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5">
        <v>0.979</v>
      </c>
      <c r="W145">
        <v>1</v>
      </c>
      <c r="X145">
        <v>1</v>
      </c>
      <c r="Y145">
        <v>0.333</v>
      </c>
      <c r="Z145">
        <v>0.989</v>
      </c>
      <c r="AA145">
        <v>1</v>
      </c>
      <c r="AB145">
        <v>0.792</v>
      </c>
      <c r="AC145">
        <v>0.935</v>
      </c>
      <c r="AD145">
        <v>1</v>
      </c>
      <c r="AE145">
        <v>1</v>
      </c>
      <c r="AF145">
        <v>0.994</v>
      </c>
      <c r="AG145">
        <v>1</v>
      </c>
      <c r="AH14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6" xml:space="preserve">
      <c r="A146">
        <v>45953</v>
      </c>
      <c r="B146" t="str">
        <v>Region 4</v>
      </c>
      <c r="C146" t="str">
        <v>Juanda Airport Surabaya</v>
      </c>
      <c r="D146" t="str">
        <v>SUB</v>
      </c>
      <c r="E146">
        <v>0.899999999999999</v>
      </c>
      <c r="F146">
        <v>1</v>
      </c>
      <c r="G146">
        <v>1</v>
      </c>
      <c r="H146">
        <v>1</v>
      </c>
      <c r="I146">
        <v>1</v>
      </c>
      <c r="J146">
        <v>1</v>
      </c>
      <c r="K146" t="str">
        <v>95,80%</v>
      </c>
      <c r="M146">
        <v>0.9812</v>
      </c>
      <c r="N146">
        <v>0.9609649122807017</v>
      </c>
      <c r="O146">
        <v>1</v>
      </c>
      <c r="P146">
        <v>0.9977678571428572</v>
      </c>
      <c r="Q146">
        <v>0.9981</v>
      </c>
      <c r="R146">
        <v>1</v>
      </c>
      <c r="S146">
        <v>0.9105820105820105</v>
      </c>
      <c r="U14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6">
        <v>0.979</v>
      </c>
      <c r="W146">
        <v>1</v>
      </c>
      <c r="X146">
        <v>1</v>
      </c>
      <c r="Y146">
        <v>0.333</v>
      </c>
      <c r="Z146">
        <v>0.989</v>
      </c>
      <c r="AA146">
        <v>1</v>
      </c>
      <c r="AB146">
        <v>0.792</v>
      </c>
      <c r="AC146">
        <v>0.935</v>
      </c>
      <c r="AD146">
        <v>1</v>
      </c>
      <c r="AE146">
        <v>1</v>
      </c>
      <c r="AF146">
        <v>0.994</v>
      </c>
      <c r="AG146">
        <v>1</v>
      </c>
      <c r="AH14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7" xml:space="preserve">
      <c r="A147">
        <v>45954</v>
      </c>
      <c r="B147" t="str">
        <v>Region 4</v>
      </c>
      <c r="C147" t="str">
        <v>Juanda Airport Surabaya</v>
      </c>
      <c r="D147" t="str">
        <v>SUB</v>
      </c>
      <c r="E147">
        <v>0.899999999999999</v>
      </c>
      <c r="F147">
        <v>1</v>
      </c>
      <c r="G147">
        <v>1</v>
      </c>
      <c r="H147">
        <v>1</v>
      </c>
      <c r="I147">
        <v>1</v>
      </c>
      <c r="J147">
        <v>1</v>
      </c>
      <c r="K147" t="str">
        <v>95,80%</v>
      </c>
      <c r="M147">
        <v>0.9812</v>
      </c>
      <c r="N147">
        <v>0.9609649122807017</v>
      </c>
      <c r="O147">
        <v>1</v>
      </c>
      <c r="P147">
        <v>0.9977678571428572</v>
      </c>
      <c r="Q147">
        <v>0.9981</v>
      </c>
      <c r="R147">
        <v>1</v>
      </c>
      <c r="S147">
        <v>0.9105820105820105</v>
      </c>
      <c r="U14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7">
        <v>0.979</v>
      </c>
      <c r="W147">
        <v>1</v>
      </c>
      <c r="X147">
        <v>1</v>
      </c>
      <c r="Y147">
        <v>0.333</v>
      </c>
      <c r="Z147">
        <v>0.989</v>
      </c>
      <c r="AA147">
        <v>1</v>
      </c>
      <c r="AB147">
        <v>0.792</v>
      </c>
      <c r="AC147">
        <v>0.935</v>
      </c>
      <c r="AD147">
        <v>1</v>
      </c>
      <c r="AE147">
        <v>1</v>
      </c>
      <c r="AF147">
        <v>0.994</v>
      </c>
      <c r="AG147">
        <v>1</v>
      </c>
      <c r="AH14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flap_x000d_
7. HBS timur T2 tidak bisa beroperasi indikasi kerusakan controller view C proses perbaikan lebih lanjut</v>
      </c>
    </row>
    <row r="148" xml:space="preserve">
      <c r="A148">
        <v>45955</v>
      </c>
      <c r="B148" t="str">
        <v>Region 4</v>
      </c>
      <c r="C148" t="str">
        <v>Juanda Airport Surabaya</v>
      </c>
      <c r="D148" t="str">
        <v>SUB</v>
      </c>
      <c r="E148">
        <v>0.899999999999999</v>
      </c>
      <c r="F148">
        <v>1</v>
      </c>
      <c r="G148">
        <v>1</v>
      </c>
      <c r="H148">
        <v>1</v>
      </c>
      <c r="I148">
        <v>1</v>
      </c>
      <c r="J148">
        <v>1</v>
      </c>
      <c r="K148" t="str">
        <v>95,80%</v>
      </c>
      <c r="M148">
        <v>0.9812</v>
      </c>
      <c r="N148">
        <v>0.9609649122807017</v>
      </c>
      <c r="O148">
        <v>1</v>
      </c>
      <c r="P148">
        <v>0.9977678571428572</v>
      </c>
      <c r="Q148">
        <v>0.9981</v>
      </c>
      <c r="R148">
        <v>1</v>
      </c>
      <c r="S148">
        <v>0.9105820105820105</v>
      </c>
      <c r="U14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8">
        <v>1</v>
      </c>
      <c r="W148">
        <v>1</v>
      </c>
      <c r="X148">
        <v>1</v>
      </c>
      <c r="Y148">
        <v>0.333</v>
      </c>
      <c r="Z148">
        <v>0.989</v>
      </c>
      <c r="AA148">
        <v>1</v>
      </c>
      <c r="AB148">
        <v>0.792</v>
      </c>
      <c r="AC148">
        <v>0.935</v>
      </c>
      <c r="AD148">
        <v>1</v>
      </c>
      <c r="AE148">
        <v>1</v>
      </c>
      <c r="AF148">
        <v>0.994</v>
      </c>
      <c r="AG148">
        <v>1</v>
      </c>
      <c r="AH14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49" xml:space="preserve">
      <c r="A149">
        <v>45956</v>
      </c>
      <c r="B149" t="str">
        <v>Region 4</v>
      </c>
      <c r="C149" t="str">
        <v>Juanda Airport Surabaya</v>
      </c>
      <c r="D149" t="str">
        <v>SUB</v>
      </c>
      <c r="E149">
        <v>0.899999999999999</v>
      </c>
      <c r="F149">
        <v>1</v>
      </c>
      <c r="G149">
        <v>1</v>
      </c>
      <c r="H149">
        <v>1</v>
      </c>
      <c r="I149">
        <v>1</v>
      </c>
      <c r="J149">
        <v>1</v>
      </c>
      <c r="K149" t="str">
        <v>95,80%</v>
      </c>
      <c r="M149">
        <v>0.9812</v>
      </c>
      <c r="N149">
        <v>0.9609649122807017</v>
      </c>
      <c r="O149">
        <v>1</v>
      </c>
      <c r="P149">
        <v>0.9977678571428572</v>
      </c>
      <c r="Q149">
        <v>0.9981</v>
      </c>
      <c r="R149">
        <v>1</v>
      </c>
      <c r="S149">
        <v>0.9105820105820105</v>
      </c>
      <c r="U14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49">
        <v>1</v>
      </c>
      <c r="W149">
        <v>1</v>
      </c>
      <c r="X149">
        <v>1</v>
      </c>
      <c r="Y149">
        <v>0.333</v>
      </c>
      <c r="Z149">
        <v>0.989</v>
      </c>
      <c r="AA149">
        <v>1</v>
      </c>
      <c r="AB149">
        <v>0.792</v>
      </c>
      <c r="AC149">
        <v>0.935</v>
      </c>
      <c r="AD149">
        <v>1</v>
      </c>
      <c r="AE149">
        <v>1</v>
      </c>
      <c r="AF149">
        <v>0.994</v>
      </c>
      <c r="AG149">
        <v>1</v>
      </c>
      <c r="AH14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0" xml:space="preserve">
      <c r="A150">
        <v>45957</v>
      </c>
      <c r="B150" t="str">
        <v>Region 4</v>
      </c>
      <c r="C150" t="str">
        <v>Juanda Airport Surabaya</v>
      </c>
      <c r="D150" t="str">
        <v>SUB</v>
      </c>
      <c r="E150">
        <v>0.899999999999999</v>
      </c>
      <c r="F150">
        <v>1</v>
      </c>
      <c r="G150">
        <v>1</v>
      </c>
      <c r="H150">
        <v>1</v>
      </c>
      <c r="I150">
        <v>1</v>
      </c>
      <c r="J150">
        <v>1</v>
      </c>
      <c r="K150" t="str">
        <v>95,80%</v>
      </c>
      <c r="M150">
        <v>0.9812</v>
      </c>
      <c r="N150">
        <v>0.9609649122807017</v>
      </c>
      <c r="O150">
        <v>1</v>
      </c>
      <c r="P150">
        <v>0.9977678571428572</v>
      </c>
      <c r="Q150">
        <v>0.9981</v>
      </c>
      <c r="R150">
        <v>1</v>
      </c>
      <c r="S150">
        <v>0.9105820105820105</v>
      </c>
      <c r="U15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0">
        <v>1</v>
      </c>
      <c r="W150">
        <v>1</v>
      </c>
      <c r="X150">
        <v>1</v>
      </c>
      <c r="Y150">
        <v>0.333</v>
      </c>
      <c r="Z150">
        <v>0.989</v>
      </c>
      <c r="AA150">
        <v>1</v>
      </c>
      <c r="AB150">
        <v>0.792</v>
      </c>
      <c r="AC150">
        <v>0.935</v>
      </c>
      <c r="AD150">
        <v>1</v>
      </c>
      <c r="AE150">
        <v>1</v>
      </c>
      <c r="AF150">
        <v>0.994</v>
      </c>
      <c r="AG150">
        <v>1</v>
      </c>
      <c r="AH15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1" xml:space="preserve">
      <c r="A151">
        <v>45958</v>
      </c>
      <c r="B151" t="str">
        <v>Region 4</v>
      </c>
      <c r="C151" t="str">
        <v>Juanda Airport Surabaya</v>
      </c>
      <c r="D151" t="str">
        <v>SUB</v>
      </c>
      <c r="E151">
        <v>0.899999999999999</v>
      </c>
      <c r="F151">
        <v>1</v>
      </c>
      <c r="G151">
        <v>1</v>
      </c>
      <c r="H151">
        <v>1</v>
      </c>
      <c r="I151">
        <v>1</v>
      </c>
      <c r="J151">
        <v>1</v>
      </c>
      <c r="K151" t="str">
        <v>95,80%</v>
      </c>
      <c r="M151">
        <v>0.9812</v>
      </c>
      <c r="N151">
        <v>0.9609649122807017</v>
      </c>
      <c r="O151">
        <v>1</v>
      </c>
      <c r="P151">
        <v>0.9977678571428572</v>
      </c>
      <c r="Q151">
        <v>0.9981</v>
      </c>
      <c r="R151">
        <v>1</v>
      </c>
      <c r="S151">
        <v>0.9105820105820105</v>
      </c>
      <c r="U15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1">
        <v>1</v>
      </c>
      <c r="W151">
        <v>1</v>
      </c>
      <c r="X151">
        <v>1</v>
      </c>
      <c r="Y151">
        <v>0.333</v>
      </c>
      <c r="Z151">
        <v>0.989</v>
      </c>
      <c r="AA151">
        <v>1</v>
      </c>
      <c r="AB151">
        <v>0.792</v>
      </c>
      <c r="AC151">
        <v>0.935</v>
      </c>
      <c r="AD151">
        <v>1</v>
      </c>
      <c r="AE151">
        <v>1</v>
      </c>
      <c r="AF151">
        <v>0.994</v>
      </c>
      <c r="AG151">
        <v>1</v>
      </c>
      <c r="AH15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2" xml:space="preserve">
      <c r="A152">
        <v>45959</v>
      </c>
      <c r="B152" t="str">
        <v>Region 4</v>
      </c>
      <c r="C152" t="str">
        <v>Juanda Airport Surabaya</v>
      </c>
      <c r="D152" t="str">
        <v>SUB</v>
      </c>
      <c r="E152">
        <v>0.9</v>
      </c>
      <c r="F152">
        <v>1</v>
      </c>
      <c r="G152">
        <v>1</v>
      </c>
      <c r="H152">
        <v>1</v>
      </c>
      <c r="I152">
        <v>1</v>
      </c>
      <c r="J152">
        <v>1</v>
      </c>
      <c r="K152" t="str">
        <v>95,80%</v>
      </c>
      <c r="M152">
        <v>0.9812</v>
      </c>
      <c r="N152">
        <v>0.9609649122807017</v>
      </c>
      <c r="O152">
        <v>1</v>
      </c>
      <c r="P152">
        <v>0.9977678571428572</v>
      </c>
      <c r="Q152">
        <v>0.9981</v>
      </c>
      <c r="R152">
        <v>1</v>
      </c>
      <c r="S152">
        <v>0.9105820105820105</v>
      </c>
      <c r="U15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2">
        <v>1</v>
      </c>
      <c r="W152">
        <v>1</v>
      </c>
      <c r="X152">
        <v>1</v>
      </c>
      <c r="Y152">
        <v>0.333</v>
      </c>
      <c r="Z152">
        <v>0.989</v>
      </c>
      <c r="AA152">
        <v>1</v>
      </c>
      <c r="AB152">
        <v>0.792</v>
      </c>
      <c r="AC152">
        <v>0.935</v>
      </c>
      <c r="AD152">
        <v>1</v>
      </c>
      <c r="AE152">
        <v>1</v>
      </c>
      <c r="AF152">
        <v>0.994</v>
      </c>
      <c r="AG152">
        <v>1</v>
      </c>
      <c r="AH15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3" xml:space="preserve">
      <c r="A153">
        <v>45960</v>
      </c>
      <c r="B153" t="str">
        <v>Region 4</v>
      </c>
      <c r="C153" t="str">
        <v>Juanda Airport Surabaya</v>
      </c>
      <c r="D153" t="str">
        <v>SUB</v>
      </c>
      <c r="E153">
        <v>0.9</v>
      </c>
      <c r="F153">
        <v>1</v>
      </c>
      <c r="G153">
        <v>1</v>
      </c>
      <c r="H153">
        <v>1</v>
      </c>
      <c r="I153">
        <v>1</v>
      </c>
      <c r="J153">
        <v>1</v>
      </c>
      <c r="K153" t="str">
        <v>95,80%</v>
      </c>
      <c r="M153">
        <v>0.9812</v>
      </c>
      <c r="N153">
        <v>0.9609649122807017</v>
      </c>
      <c r="O153">
        <v>1</v>
      </c>
      <c r="P153">
        <v>0.9977678571428572</v>
      </c>
      <c r="Q153">
        <v>0.9981</v>
      </c>
      <c r="R153">
        <v>1</v>
      </c>
      <c r="S153">
        <v>0.9105820105820105</v>
      </c>
      <c r="U15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3">
        <v>1</v>
      </c>
      <c r="W153">
        <v>1</v>
      </c>
      <c r="X153">
        <v>1</v>
      </c>
      <c r="Y153">
        <v>0.333</v>
      </c>
      <c r="Z153">
        <v>0.989</v>
      </c>
      <c r="AA153">
        <v>1</v>
      </c>
      <c r="AB153">
        <v>0.792</v>
      </c>
      <c r="AC153">
        <v>0.935</v>
      </c>
      <c r="AD153">
        <v>1</v>
      </c>
      <c r="AE153">
        <v>1</v>
      </c>
      <c r="AF153">
        <v>0.994</v>
      </c>
      <c r="AG153">
        <v>1</v>
      </c>
      <c r="AH15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4" xml:space="preserve">
      <c r="A154">
        <v>45961</v>
      </c>
      <c r="B154" t="str">
        <v>Region 4</v>
      </c>
      <c r="C154" t="str">
        <v>Juanda Airport Surabaya</v>
      </c>
      <c r="D154" t="str">
        <v>SUB</v>
      </c>
      <c r="E154">
        <v>0.9</v>
      </c>
      <c r="F154">
        <v>1</v>
      </c>
      <c r="G154">
        <v>1</v>
      </c>
      <c r="H154">
        <v>1</v>
      </c>
      <c r="I154">
        <v>1</v>
      </c>
      <c r="J154">
        <v>1</v>
      </c>
      <c r="K154" t="str">
        <v>95,80%</v>
      </c>
      <c r="M154">
        <v>0.9812</v>
      </c>
      <c r="N154">
        <v>0.9609649122807017</v>
      </c>
      <c r="O154">
        <v>1</v>
      </c>
      <c r="P154">
        <v>0.9977678571428572</v>
      </c>
      <c r="Q154">
        <v>0.9981</v>
      </c>
      <c r="R154">
        <v>1</v>
      </c>
      <c r="S154">
        <v>0.9105820105820105</v>
      </c>
      <c r="U15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4">
        <v>1</v>
      </c>
      <c r="W154">
        <v>1</v>
      </c>
      <c r="X154">
        <v>1</v>
      </c>
      <c r="Y154">
        <v>0.333</v>
      </c>
      <c r="Z154">
        <v>0.989</v>
      </c>
      <c r="AA154">
        <v>1</v>
      </c>
      <c r="AB154">
        <v>0.792</v>
      </c>
      <c r="AC154">
        <v>0.935</v>
      </c>
      <c r="AD154">
        <v>1</v>
      </c>
      <c r="AE154">
        <v>1</v>
      </c>
      <c r="AF154">
        <v>0.994</v>
      </c>
      <c r="AG154">
        <v>1</v>
      </c>
      <c r="AH15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5" xml:space="preserve">
      <c r="A155">
        <v>45962</v>
      </c>
      <c r="B155" t="str">
        <v>Region 4</v>
      </c>
      <c r="C155" t="str">
        <v>Juanda Airport Surabaya</v>
      </c>
      <c r="D155" t="str">
        <v>SUB</v>
      </c>
      <c r="E155">
        <v>0.9</v>
      </c>
      <c r="F155">
        <v>1</v>
      </c>
      <c r="G155">
        <v>1</v>
      </c>
      <c r="H155">
        <v>1</v>
      </c>
      <c r="I155">
        <v>1</v>
      </c>
      <c r="J155">
        <v>1</v>
      </c>
      <c r="K155" t="str">
        <v>95,80%</v>
      </c>
      <c r="M155">
        <v>0.9812</v>
      </c>
      <c r="N155">
        <v>0.9609649122807017</v>
      </c>
      <c r="O155">
        <v>1</v>
      </c>
      <c r="P155">
        <v>0.9977678571428572</v>
      </c>
      <c r="Q155">
        <v>0.9981</v>
      </c>
      <c r="R155">
        <v>1</v>
      </c>
      <c r="S155">
        <v>0.9105820105820105</v>
      </c>
      <c r="U155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5">
        <v>1</v>
      </c>
      <c r="W155">
        <v>1</v>
      </c>
      <c r="X155">
        <v>1</v>
      </c>
      <c r="Y155">
        <v>0.333</v>
      </c>
      <c r="Z155">
        <v>0.989</v>
      </c>
      <c r="AA155">
        <v>1</v>
      </c>
      <c r="AB155">
        <v>0.792</v>
      </c>
      <c r="AC155">
        <v>0.935</v>
      </c>
      <c r="AD155">
        <v>1</v>
      </c>
      <c r="AE155">
        <v>1</v>
      </c>
      <c r="AF155">
        <v>0.994</v>
      </c>
      <c r="AG155">
        <v>1</v>
      </c>
      <c r="AH15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6" xml:space="preserve">
      <c r="A156">
        <v>45963</v>
      </c>
      <c r="B156" t="str">
        <v>Region 4</v>
      </c>
      <c r="C156" t="str">
        <v>Juanda Airport Surabaya</v>
      </c>
      <c r="D156" t="str">
        <v>SUB</v>
      </c>
      <c r="E156">
        <v>0.9</v>
      </c>
      <c r="F156">
        <v>1</v>
      </c>
      <c r="G156">
        <v>1</v>
      </c>
      <c r="H156">
        <v>1</v>
      </c>
      <c r="I156">
        <v>1</v>
      </c>
      <c r="J156">
        <v>1</v>
      </c>
      <c r="K156" t="str">
        <v>95,80%</v>
      </c>
      <c r="M156">
        <v>0.9812</v>
      </c>
      <c r="N156">
        <v>0.9609649122807017</v>
      </c>
      <c r="O156">
        <v>1</v>
      </c>
      <c r="P156">
        <v>0.9977678571428572</v>
      </c>
      <c r="Q156">
        <v>0.9981</v>
      </c>
      <c r="R156">
        <v>1</v>
      </c>
      <c r="S156">
        <v>0.9105820105820105</v>
      </c>
      <c r="U156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6">
        <v>1</v>
      </c>
      <c r="W156">
        <v>1</v>
      </c>
      <c r="X156">
        <v>1</v>
      </c>
      <c r="Y156">
        <v>0.333</v>
      </c>
      <c r="Z156">
        <v>0.989</v>
      </c>
      <c r="AA156">
        <v>1</v>
      </c>
      <c r="AB156">
        <v>0.792</v>
      </c>
      <c r="AC156">
        <v>0.935</v>
      </c>
      <c r="AD156">
        <v>1</v>
      </c>
      <c r="AE156">
        <v>1</v>
      </c>
      <c r="AF156">
        <v>0.994</v>
      </c>
      <c r="AG156">
        <v>1</v>
      </c>
      <c r="AH15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7" xml:space="preserve">
      <c r="A157">
        <v>45964</v>
      </c>
      <c r="B157" t="str">
        <v>Region 4</v>
      </c>
      <c r="C157" t="str">
        <v>Juanda Airport Surabaya</v>
      </c>
      <c r="D157" t="str">
        <v>SUB</v>
      </c>
      <c r="E157">
        <v>0.9</v>
      </c>
      <c r="F157">
        <v>1</v>
      </c>
      <c r="G157">
        <v>1</v>
      </c>
      <c r="H157">
        <v>1</v>
      </c>
      <c r="I157">
        <v>1</v>
      </c>
      <c r="J157">
        <v>1</v>
      </c>
      <c r="K157" t="str">
        <v>95,80%</v>
      </c>
      <c r="M157">
        <v>0.9812</v>
      </c>
      <c r="N157">
        <v>0.9609649122807017</v>
      </c>
      <c r="O157">
        <v>1</v>
      </c>
      <c r="P157">
        <v>0.9977678571428572</v>
      </c>
      <c r="Q157">
        <v>0.9981</v>
      </c>
      <c r="R157">
        <v>1</v>
      </c>
      <c r="S157">
        <v>0.9105820105820105</v>
      </c>
      <c r="U157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7">
        <v>1</v>
      </c>
      <c r="W157">
        <v>1</v>
      </c>
      <c r="X157">
        <v>1</v>
      </c>
      <c r="Y157">
        <v>0.333</v>
      </c>
      <c r="Z157">
        <v>0.989</v>
      </c>
      <c r="AA157">
        <v>1</v>
      </c>
      <c r="AB157">
        <v>0.792</v>
      </c>
      <c r="AC157">
        <v>0.935</v>
      </c>
      <c r="AD157">
        <v>1</v>
      </c>
      <c r="AE157">
        <v>1</v>
      </c>
      <c r="AF157">
        <v>0.994</v>
      </c>
      <c r="AG157">
        <v>1</v>
      </c>
      <c r="AH15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8" xml:space="preserve">
      <c r="A158">
        <v>45965</v>
      </c>
      <c r="B158" t="str">
        <v>Region 4</v>
      </c>
      <c r="C158" t="str">
        <v>Juanda Airport Surabaya</v>
      </c>
      <c r="D158" t="str">
        <v>SUB</v>
      </c>
      <c r="E158">
        <v>0.9</v>
      </c>
      <c r="F158">
        <v>1</v>
      </c>
      <c r="G158">
        <v>1</v>
      </c>
      <c r="H158">
        <v>1</v>
      </c>
      <c r="I158">
        <v>1</v>
      </c>
      <c r="J158">
        <v>1</v>
      </c>
      <c r="K158" t="str">
        <v>95,80%</v>
      </c>
      <c r="M158">
        <v>0.9812</v>
      </c>
      <c r="N158">
        <v>0.9609649122807017</v>
      </c>
      <c r="O158">
        <v>1</v>
      </c>
      <c r="P158">
        <v>0.9977678571428572</v>
      </c>
      <c r="Q158">
        <v>0.9981</v>
      </c>
      <c r="R158">
        <v>1</v>
      </c>
      <c r="S158">
        <v>0.9105820105820105</v>
      </c>
      <c r="U158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8">
        <v>1</v>
      </c>
      <c r="W158">
        <v>1</v>
      </c>
      <c r="X158">
        <v>1</v>
      </c>
      <c r="Y158">
        <v>0.333</v>
      </c>
      <c r="Z158">
        <v>0.989</v>
      </c>
      <c r="AA158">
        <v>1</v>
      </c>
      <c r="AB158">
        <v>0.792</v>
      </c>
      <c r="AC158">
        <v>0.935</v>
      </c>
      <c r="AD158">
        <v>1</v>
      </c>
      <c r="AE158">
        <v>1</v>
      </c>
      <c r="AF158">
        <v>0.994</v>
      </c>
      <c r="AG158">
        <v>1</v>
      </c>
      <c r="AH15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59" xml:space="preserve">
      <c r="A159">
        <v>45966</v>
      </c>
      <c r="B159" t="str">
        <v>Region 4</v>
      </c>
      <c r="C159" t="str">
        <v>Juanda Airport Surabaya</v>
      </c>
      <c r="D159" t="str">
        <v>SUB</v>
      </c>
      <c r="E159">
        <v>0.9</v>
      </c>
      <c r="F159">
        <v>1</v>
      </c>
      <c r="G159">
        <v>1</v>
      </c>
      <c r="H159">
        <v>1</v>
      </c>
      <c r="I159">
        <v>1</v>
      </c>
      <c r="J159">
        <v>1</v>
      </c>
      <c r="K159" t="str">
        <v>95,80%</v>
      </c>
      <c r="M159">
        <v>0.9812</v>
      </c>
      <c r="N159">
        <v>0.9609649122807017</v>
      </c>
      <c r="O159">
        <v>1</v>
      </c>
      <c r="P159">
        <v>0.9977678571428572</v>
      </c>
      <c r="Q159">
        <v>0.9981</v>
      </c>
      <c r="R159">
        <v>1</v>
      </c>
      <c r="S159">
        <v>0.9105820105820105</v>
      </c>
      <c r="U159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59">
        <v>1</v>
      </c>
      <c r="W159">
        <v>1</v>
      </c>
      <c r="X159">
        <v>1</v>
      </c>
      <c r="Y159">
        <v>0.333</v>
      </c>
      <c r="Z159">
        <v>0.989</v>
      </c>
      <c r="AA159">
        <v>1</v>
      </c>
      <c r="AB159">
        <v>0.792</v>
      </c>
      <c r="AC159">
        <v>0.935</v>
      </c>
      <c r="AD159">
        <v>1</v>
      </c>
      <c r="AE159">
        <v>1</v>
      </c>
      <c r="AF159">
        <v>0.994</v>
      </c>
      <c r="AG159">
        <v>1</v>
      </c>
      <c r="AH15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0" xml:space="preserve">
      <c r="A160">
        <v>45967</v>
      </c>
      <c r="B160" t="str">
        <v>Region 4</v>
      </c>
      <c r="C160" t="str">
        <v>Juanda Airport Surabaya</v>
      </c>
      <c r="D160" t="str">
        <v>SUB</v>
      </c>
      <c r="E160">
        <v>0.9</v>
      </c>
      <c r="F160">
        <v>1</v>
      </c>
      <c r="G160">
        <v>1</v>
      </c>
      <c r="H160">
        <v>1</v>
      </c>
      <c r="I160">
        <v>1</v>
      </c>
      <c r="J160">
        <v>1</v>
      </c>
      <c r="K160" t="str">
        <v>95,80%</v>
      </c>
      <c r="M160">
        <v>0.9812</v>
      </c>
      <c r="N160">
        <v>0.9609649122807017</v>
      </c>
      <c r="O160">
        <v>1</v>
      </c>
      <c r="P160">
        <v>0.9977678571428572</v>
      </c>
      <c r="Q160">
        <v>0.9981</v>
      </c>
      <c r="R160">
        <v>1</v>
      </c>
      <c r="S160">
        <v>0.9105820105820105</v>
      </c>
      <c r="U160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60">
        <v>1</v>
      </c>
      <c r="W160">
        <v>1</v>
      </c>
      <c r="X160">
        <v>1</v>
      </c>
      <c r="Y160">
        <v>0.333</v>
      </c>
      <c r="Z160">
        <v>0.989</v>
      </c>
      <c r="AA160">
        <v>1</v>
      </c>
      <c r="AB160">
        <v>0.792</v>
      </c>
      <c r="AC160">
        <v>0.935</v>
      </c>
      <c r="AD160">
        <v>1</v>
      </c>
      <c r="AE160">
        <v>1</v>
      </c>
      <c r="AF160">
        <v>0.994</v>
      </c>
      <c r="AG160">
        <v>1</v>
      </c>
      <c r="AH16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1" xml:space="preserve">
      <c r="A161">
        <v>45968</v>
      </c>
      <c r="B161" t="str">
        <v>Region 4</v>
      </c>
      <c r="C161" t="str">
        <v>Juanda Airport Surabaya</v>
      </c>
      <c r="D161" t="str">
        <v>SUB</v>
      </c>
      <c r="E161">
        <v>0.9</v>
      </c>
      <c r="F161">
        <v>1</v>
      </c>
      <c r="G161">
        <v>1</v>
      </c>
      <c r="H161">
        <v>1</v>
      </c>
      <c r="I161">
        <v>1</v>
      </c>
      <c r="J161">
        <v>1</v>
      </c>
      <c r="K161" t="str">
        <v>95,80%</v>
      </c>
      <c r="M161">
        <v>0.9812</v>
      </c>
      <c r="N161">
        <v>0.9609649122807017</v>
      </c>
      <c r="O161">
        <v>1</v>
      </c>
      <c r="P161">
        <v>0.9977678571428572</v>
      </c>
      <c r="Q161">
        <v>0.9981</v>
      </c>
      <c r="R161">
        <v>1</v>
      </c>
      <c r="S161">
        <v>0.9105820105820105</v>
      </c>
      <c r="U161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61">
        <v>1</v>
      </c>
      <c r="W161">
        <v>1</v>
      </c>
      <c r="X161">
        <v>1</v>
      </c>
      <c r="Y161">
        <v>0.333</v>
      </c>
      <c r="Z161">
        <v>0.989</v>
      </c>
      <c r="AA161">
        <v>1</v>
      </c>
      <c r="AB161">
        <v>0.792</v>
      </c>
      <c r="AC161">
        <v>0.935</v>
      </c>
      <c r="AD161">
        <v>1</v>
      </c>
      <c r="AE161">
        <v>1</v>
      </c>
      <c r="AF161">
        <v>0.994</v>
      </c>
      <c r="AG161">
        <v>1</v>
      </c>
      <c r="AH16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2" xml:space="preserve">
      <c r="A162">
        <v>45969</v>
      </c>
      <c r="B162" t="str">
        <v>Region 4</v>
      </c>
      <c r="C162" t="str">
        <v>Juanda Airport Surabaya</v>
      </c>
      <c r="D162" t="str">
        <v>SUB</v>
      </c>
      <c r="E162">
        <v>0.9</v>
      </c>
      <c r="F162">
        <v>1</v>
      </c>
      <c r="G162">
        <v>1</v>
      </c>
      <c r="H162">
        <v>1</v>
      </c>
      <c r="I162">
        <v>1</v>
      </c>
      <c r="J162">
        <v>1</v>
      </c>
      <c r="K162" t="str">
        <v>95,80%</v>
      </c>
      <c r="M162">
        <v>0.9812</v>
      </c>
      <c r="N162">
        <v>0.9609649122807017</v>
      </c>
      <c r="O162">
        <v>1</v>
      </c>
      <c r="P162">
        <v>0.9977678571428572</v>
      </c>
      <c r="Q162">
        <v>0.9981</v>
      </c>
      <c r="R162">
        <v>1</v>
      </c>
      <c r="S162">
        <v>0.9105820105820105</v>
      </c>
      <c r="U162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62">
        <v>1</v>
      </c>
      <c r="W162">
        <v>1</v>
      </c>
      <c r="X162">
        <v>1</v>
      </c>
      <c r="Y162">
        <v>0.333</v>
      </c>
      <c r="Z162">
        <v>0.989</v>
      </c>
      <c r="AA162">
        <v>1</v>
      </c>
      <c r="AB162">
        <v>0.792</v>
      </c>
      <c r="AC162">
        <v>0.935</v>
      </c>
      <c r="AD162">
        <v>1</v>
      </c>
      <c r="AE162">
        <v>1</v>
      </c>
      <c r="AF162">
        <v>0.994</v>
      </c>
      <c r="AG162">
        <v>1</v>
      </c>
      <c r="AH16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3" xml:space="preserve">
      <c r="A163">
        <v>45970</v>
      </c>
      <c r="B163" t="str">
        <v>Region 4</v>
      </c>
      <c r="C163" t="str">
        <v>Juanda Airport Surabaya</v>
      </c>
      <c r="D163" t="str">
        <v>SUB</v>
      </c>
      <c r="E163">
        <v>0.9</v>
      </c>
      <c r="F163">
        <v>1</v>
      </c>
      <c r="G163">
        <v>1</v>
      </c>
      <c r="H163">
        <v>1</v>
      </c>
      <c r="I163">
        <v>1</v>
      </c>
      <c r="J163">
        <v>1</v>
      </c>
      <c r="K163" t="str">
        <v>95,80%</v>
      </c>
      <c r="M163">
        <v>0.9812</v>
      </c>
      <c r="N163">
        <v>0.9609649122807017</v>
      </c>
      <c r="O163">
        <v>1</v>
      </c>
      <c r="P163">
        <v>0.9977678571428572</v>
      </c>
      <c r="Q163">
        <v>0.9981</v>
      </c>
      <c r="R163">
        <v>1</v>
      </c>
      <c r="S163">
        <v>0.9105820105820105</v>
      </c>
      <c r="U163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63">
        <v>1</v>
      </c>
      <c r="W163">
        <v>1</v>
      </c>
      <c r="X163">
        <v>1</v>
      </c>
      <c r="Y163">
        <v>0.333</v>
      </c>
      <c r="Z163">
        <v>0.989</v>
      </c>
      <c r="AA163">
        <v>1</v>
      </c>
      <c r="AB163">
        <v>0.792</v>
      </c>
      <c r="AC163">
        <v>0.935</v>
      </c>
      <c r="AD163">
        <v>1</v>
      </c>
      <c r="AE163">
        <v>1</v>
      </c>
      <c r="AF163">
        <v>0.994</v>
      </c>
      <c r="AG163">
        <v>1</v>
      </c>
      <c r="AH16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4" xml:space="preserve">
      <c r="A164">
        <v>45971</v>
      </c>
      <c r="B164" t="str">
        <v>Region 4</v>
      </c>
      <c r="C164" t="str">
        <v>Juanda Airport Surabaya</v>
      </c>
      <c r="D164" t="str">
        <v>SUB</v>
      </c>
      <c r="E164">
        <v>0.9</v>
      </c>
      <c r="F164">
        <v>1</v>
      </c>
      <c r="G164">
        <v>1</v>
      </c>
      <c r="H164">
        <v>1</v>
      </c>
      <c r="I164">
        <v>1</v>
      </c>
      <c r="J164">
        <v>1</v>
      </c>
      <c r="K164" t="str">
        <v>95,80%</v>
      </c>
      <c r="M164">
        <v>0.9812</v>
      </c>
      <c r="N164">
        <v>0.9609649122807017</v>
      </c>
      <c r="O164">
        <v>1</v>
      </c>
      <c r="P164">
        <v>0.9977678571428572</v>
      </c>
      <c r="Q164">
        <v>0.9981</v>
      </c>
      <c r="R164">
        <v>1</v>
      </c>
      <c r="S164">
        <v>0.9105820105820105</v>
      </c>
      <c r="U164" t="str" xml:space="preserve">
        <v xml:space="preserve">- Chiller No.6 T2 kerusakan 2 circuit refrigerant_x000d_
- Chiller No.5 T2 kerusakan 1 circuit refrigerant_x000d_
- Chiller No. 2 T2 kerusakan part sensor discharge tempt, discharge tempt switch, suction tempt sensor, DP, retrovit controle modul &amp; EXV Driver_x000d_
- Chiller No. 4 T1B running abnormal (low press), saat RLA 58% evaporator pressure  30 psi</v>
      </c>
      <c r="V164">
        <v>1</v>
      </c>
      <c r="W164">
        <v>1</v>
      </c>
      <c r="X164">
        <v>1</v>
      </c>
      <c r="Y164">
        <v>0.333</v>
      </c>
      <c r="Z164">
        <v>0.989</v>
      </c>
      <c r="AA164">
        <v>1</v>
      </c>
      <c r="AB164">
        <v>0.792</v>
      </c>
      <c r="AC164">
        <v>0.935</v>
      </c>
      <c r="AD164">
        <v>1</v>
      </c>
      <c r="AE164">
        <v>1</v>
      </c>
      <c r="AF164">
        <v>0.994</v>
      </c>
      <c r="AG164">
        <v>1</v>
      </c>
      <c r="AH16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5" xml:space="preserve">
      <c r="A165">
        <v>45972</v>
      </c>
      <c r="B165" t="str">
        <v>Region 4</v>
      </c>
      <c r="C165" t="str">
        <v>Juanda Airport Surabaya</v>
      </c>
      <c r="D165" t="str">
        <v>SUB</v>
      </c>
      <c r="E165">
        <v>0.9</v>
      </c>
      <c r="F165">
        <v>1</v>
      </c>
      <c r="G165">
        <v>1</v>
      </c>
      <c r="H165">
        <v>1</v>
      </c>
      <c r="I165">
        <v>1</v>
      </c>
      <c r="J165">
        <v>1</v>
      </c>
      <c r="K165" t="str">
        <v>95,80%</v>
      </c>
      <c r="M165">
        <v>0.9812</v>
      </c>
      <c r="N165">
        <v>0.9609649122807017</v>
      </c>
      <c r="O165">
        <v>1</v>
      </c>
      <c r="P165">
        <v>0.9977678571428572</v>
      </c>
      <c r="Q165">
        <v>0.9981</v>
      </c>
      <c r="R165">
        <v>1</v>
      </c>
      <c r="S165">
        <v>0.9105820105820105</v>
      </c>
      <c r="U165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65">
        <v>1</v>
      </c>
      <c r="W165">
        <v>1</v>
      </c>
      <c r="X165">
        <v>1</v>
      </c>
      <c r="Y165">
        <v>0.333</v>
      </c>
      <c r="Z165">
        <v>0.989</v>
      </c>
      <c r="AA165">
        <v>1</v>
      </c>
      <c r="AB165">
        <v>0.792</v>
      </c>
      <c r="AC165">
        <v>0.935</v>
      </c>
      <c r="AD165">
        <v>1</v>
      </c>
      <c r="AE165">
        <v>1</v>
      </c>
      <c r="AF165">
        <v>0.994</v>
      </c>
      <c r="AG165">
        <v>1</v>
      </c>
      <c r="AH16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6" xml:space="preserve">
      <c r="A166">
        <v>45973</v>
      </c>
      <c r="B166" t="str">
        <v>Region 4</v>
      </c>
      <c r="C166" t="str">
        <v>Juanda Airport Surabaya</v>
      </c>
      <c r="D166" t="str">
        <v>SUB</v>
      </c>
      <c r="E166">
        <v>0.9</v>
      </c>
      <c r="F166">
        <v>1</v>
      </c>
      <c r="G166">
        <v>1</v>
      </c>
      <c r="H166">
        <v>1</v>
      </c>
      <c r="I166">
        <v>1</v>
      </c>
      <c r="J166">
        <v>1</v>
      </c>
      <c r="K166" t="str">
        <v>95,80%</v>
      </c>
      <c r="M166">
        <v>0.9812</v>
      </c>
      <c r="N166">
        <v>0.9609649122807017</v>
      </c>
      <c r="O166">
        <v>1</v>
      </c>
      <c r="P166">
        <v>0.9977678571428572</v>
      </c>
      <c r="Q166">
        <v>0.9981</v>
      </c>
      <c r="R166">
        <v>1</v>
      </c>
      <c r="S166">
        <v>0.9105820105820105</v>
      </c>
      <c r="U166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66">
        <v>1</v>
      </c>
      <c r="W166">
        <v>1</v>
      </c>
      <c r="X166">
        <v>1</v>
      </c>
      <c r="Y166">
        <v>0.333</v>
      </c>
      <c r="Z166">
        <v>0.989</v>
      </c>
      <c r="AA166">
        <v>1</v>
      </c>
      <c r="AB166">
        <v>0.792</v>
      </c>
      <c r="AC166">
        <v>0.935</v>
      </c>
      <c r="AD166">
        <v>1</v>
      </c>
      <c r="AE166">
        <v>1</v>
      </c>
      <c r="AF166">
        <v>0.994</v>
      </c>
      <c r="AG166">
        <v>1</v>
      </c>
      <c r="AH16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7" xml:space="preserve">
      <c r="A167">
        <v>45974</v>
      </c>
      <c r="B167" t="str">
        <v>Region 4</v>
      </c>
      <c r="C167" t="str">
        <v>Juanda Airport Surabaya</v>
      </c>
      <c r="D167" t="str">
        <v>SUB</v>
      </c>
      <c r="E167">
        <v>0.9</v>
      </c>
      <c r="F167">
        <v>1</v>
      </c>
      <c r="G167">
        <v>1</v>
      </c>
      <c r="H167">
        <v>1</v>
      </c>
      <c r="I167">
        <v>1</v>
      </c>
      <c r="J167">
        <v>1</v>
      </c>
      <c r="K167" t="str">
        <v>95,80%</v>
      </c>
      <c r="M167">
        <v>0.9812</v>
      </c>
      <c r="N167">
        <v>0.9609649122807017</v>
      </c>
      <c r="O167">
        <v>1</v>
      </c>
      <c r="P167">
        <v>0.9977678571428572</v>
      </c>
      <c r="Q167">
        <v>0.9981</v>
      </c>
      <c r="R167">
        <v>1</v>
      </c>
      <c r="S167">
        <v>0.9105820105820105</v>
      </c>
      <c r="U167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67">
        <v>1</v>
      </c>
      <c r="W167">
        <v>1</v>
      </c>
      <c r="X167">
        <v>1</v>
      </c>
      <c r="Y167">
        <v>0.333</v>
      </c>
      <c r="Z167">
        <v>0.989</v>
      </c>
      <c r="AA167">
        <v>1</v>
      </c>
      <c r="AB167">
        <v>0.792</v>
      </c>
      <c r="AC167">
        <v>0.935</v>
      </c>
      <c r="AD167">
        <v>1</v>
      </c>
      <c r="AE167">
        <v>1</v>
      </c>
      <c r="AF167">
        <v>0.994</v>
      </c>
      <c r="AG167">
        <v>1</v>
      </c>
      <c r="AH16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8" xml:space="preserve">
      <c r="A168">
        <v>45975</v>
      </c>
      <c r="B168" t="str">
        <v>Region 4</v>
      </c>
      <c r="C168" t="str">
        <v>Juanda Airport Surabaya</v>
      </c>
      <c r="D168" t="str">
        <v>SUB</v>
      </c>
      <c r="E168">
        <v>0.9</v>
      </c>
      <c r="F168">
        <v>1</v>
      </c>
      <c r="G168">
        <v>1</v>
      </c>
      <c r="H168">
        <v>1</v>
      </c>
      <c r="I168">
        <v>1</v>
      </c>
      <c r="J168">
        <v>1</v>
      </c>
      <c r="K168" t="str">
        <v>95,80%</v>
      </c>
      <c r="M168">
        <v>0.9812</v>
      </c>
      <c r="N168">
        <v>0.9609649122807017</v>
      </c>
      <c r="O168">
        <v>1</v>
      </c>
      <c r="P168">
        <v>0.9977678571428572</v>
      </c>
      <c r="Q168">
        <v>0.9981</v>
      </c>
      <c r="R168">
        <v>1</v>
      </c>
      <c r="S168">
        <v>0.9105820105820105</v>
      </c>
      <c r="U168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68">
        <v>1</v>
      </c>
      <c r="W168">
        <v>1</v>
      </c>
      <c r="X168">
        <v>1</v>
      </c>
      <c r="Y168">
        <v>0.333</v>
      </c>
      <c r="Z168">
        <v>0.989</v>
      </c>
      <c r="AA168">
        <v>1</v>
      </c>
      <c r="AB168">
        <v>0.792</v>
      </c>
      <c r="AC168">
        <v>0.935</v>
      </c>
      <c r="AD168">
        <v>1</v>
      </c>
      <c r="AE168">
        <v>1</v>
      </c>
      <c r="AF168">
        <v>0.994</v>
      </c>
      <c r="AG168">
        <v>1</v>
      </c>
      <c r="AH16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69" xml:space="preserve">
      <c r="A169">
        <v>45976</v>
      </c>
      <c r="B169" t="str">
        <v>Region 4</v>
      </c>
      <c r="C169" t="str">
        <v>Juanda Airport Surabaya</v>
      </c>
      <c r="D169" t="str">
        <v>SUB</v>
      </c>
      <c r="E169">
        <v>0.9</v>
      </c>
      <c r="F169">
        <v>1</v>
      </c>
      <c r="G169">
        <v>1</v>
      </c>
      <c r="H169">
        <v>1</v>
      </c>
      <c r="I169">
        <v>1</v>
      </c>
      <c r="J169">
        <v>1</v>
      </c>
      <c r="K169" t="str">
        <v>95,80%</v>
      </c>
      <c r="M169">
        <v>0.9812</v>
      </c>
      <c r="N169">
        <v>0.9609649122807017</v>
      </c>
      <c r="O169">
        <v>1</v>
      </c>
      <c r="P169">
        <v>0.9977678571428572</v>
      </c>
      <c r="Q169">
        <v>0.9981</v>
      </c>
      <c r="R169">
        <v>1</v>
      </c>
      <c r="S169">
        <v>0.9105820105820105</v>
      </c>
      <c r="U169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69">
        <v>1</v>
      </c>
      <c r="W169">
        <v>1</v>
      </c>
      <c r="X169">
        <v>1</v>
      </c>
      <c r="Y169">
        <v>0.333</v>
      </c>
      <c r="Z169">
        <v>0.989</v>
      </c>
      <c r="AA169">
        <v>1</v>
      </c>
      <c r="AB169">
        <v>0.792</v>
      </c>
      <c r="AC169">
        <v>0.935</v>
      </c>
      <c r="AD169">
        <v>1</v>
      </c>
      <c r="AE169">
        <v>1</v>
      </c>
      <c r="AF169">
        <v>0.994</v>
      </c>
      <c r="AG169">
        <v>1</v>
      </c>
      <c r="AH16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70" xml:space="preserve">
      <c r="A170">
        <v>45977</v>
      </c>
      <c r="B170" t="str">
        <v>Region 4</v>
      </c>
      <c r="C170" t="str">
        <v>Juanda Airport Surabaya</v>
      </c>
      <c r="D170" t="str">
        <v>SUB</v>
      </c>
      <c r="E170">
        <v>0.9</v>
      </c>
      <c r="F170">
        <v>1</v>
      </c>
      <c r="G170">
        <v>1</v>
      </c>
      <c r="H170">
        <v>1</v>
      </c>
      <c r="I170">
        <v>1</v>
      </c>
      <c r="J170">
        <v>1</v>
      </c>
      <c r="K170" t="str">
        <v>95,80%</v>
      </c>
      <c r="M170">
        <v>0.9812</v>
      </c>
      <c r="N170">
        <v>0.9609649122807017</v>
      </c>
      <c r="O170">
        <v>1</v>
      </c>
      <c r="P170">
        <v>0.9977678571428572</v>
      </c>
      <c r="Q170">
        <v>0.9981</v>
      </c>
      <c r="R170">
        <v>1</v>
      </c>
      <c r="S170">
        <v>0.9105820105820105</v>
      </c>
      <c r="U170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0">
        <v>1</v>
      </c>
      <c r="W170">
        <v>1</v>
      </c>
      <c r="X170">
        <v>1</v>
      </c>
      <c r="Y170">
        <v>0.333</v>
      </c>
      <c r="Z170">
        <v>0.989</v>
      </c>
      <c r="AA170">
        <v>1</v>
      </c>
      <c r="AB170">
        <v>0.792</v>
      </c>
      <c r="AC170">
        <v>0.935</v>
      </c>
      <c r="AD170">
        <v>1</v>
      </c>
      <c r="AE170">
        <v>1</v>
      </c>
      <c r="AF170">
        <v>0.994</v>
      </c>
      <c r="AG170">
        <v>1</v>
      </c>
      <c r="AH17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71" xml:space="preserve">
      <c r="A171">
        <v>45978</v>
      </c>
      <c r="B171" t="str">
        <v>Region 4</v>
      </c>
      <c r="C171" t="str">
        <v>Juanda Airport Surabaya</v>
      </c>
      <c r="D171" t="str">
        <v>SUB</v>
      </c>
      <c r="E171">
        <v>0.9</v>
      </c>
      <c r="F171">
        <v>1</v>
      </c>
      <c r="G171">
        <v>1</v>
      </c>
      <c r="H171">
        <v>1</v>
      </c>
      <c r="I171">
        <v>1</v>
      </c>
      <c r="J171">
        <v>1</v>
      </c>
      <c r="K171" t="str">
        <v>95,80%</v>
      </c>
      <c r="M171">
        <v>0.9812</v>
      </c>
      <c r="N171">
        <v>0.9609649122807017</v>
      </c>
      <c r="O171">
        <v>1</v>
      </c>
      <c r="P171">
        <v>0.9977678571428572</v>
      </c>
      <c r="Q171">
        <v>0.9981</v>
      </c>
      <c r="R171">
        <v>1</v>
      </c>
      <c r="S171">
        <v>0.9105820105820105</v>
      </c>
      <c r="U171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1">
        <v>1</v>
      </c>
      <c r="W171">
        <v>1</v>
      </c>
      <c r="X171">
        <v>1</v>
      </c>
      <c r="Y171">
        <v>0.333</v>
      </c>
      <c r="Z171">
        <v>0.989</v>
      </c>
      <c r="AA171">
        <v>1</v>
      </c>
      <c r="AB171">
        <v>0.792</v>
      </c>
      <c r="AC171">
        <v>0.935</v>
      </c>
      <c r="AD171">
        <v>1</v>
      </c>
      <c r="AE171">
        <v>1</v>
      </c>
      <c r="AF171">
        <v>0.994</v>
      </c>
      <c r="AG171">
        <v>1</v>
      </c>
      <c r="AH17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72" xml:space="preserve">
      <c r="A172">
        <v>45979</v>
      </c>
      <c r="B172" t="str">
        <v>Region 4</v>
      </c>
      <c r="C172" t="str">
        <v>Juanda Airport Surabaya</v>
      </c>
      <c r="D172" t="str">
        <v>SUB</v>
      </c>
      <c r="E172">
        <v>0.9</v>
      </c>
      <c r="F172">
        <v>1</v>
      </c>
      <c r="G172">
        <v>1</v>
      </c>
      <c r="H172">
        <v>1</v>
      </c>
      <c r="I172">
        <v>1</v>
      </c>
      <c r="J172">
        <v>1</v>
      </c>
      <c r="K172" t="str">
        <v>95,80%</v>
      </c>
      <c r="M172">
        <v>0.9812</v>
      </c>
      <c r="N172">
        <v>0.9609649122807017</v>
      </c>
      <c r="O172">
        <v>1</v>
      </c>
      <c r="P172">
        <v>0.9977678571428572</v>
      </c>
      <c r="Q172">
        <v>0.9981</v>
      </c>
      <c r="R172">
        <v>1</v>
      </c>
      <c r="S172">
        <v>0.9105820105820105</v>
      </c>
      <c r="U172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2">
        <v>1</v>
      </c>
      <c r="W172">
        <v>1</v>
      </c>
      <c r="X172">
        <v>1</v>
      </c>
      <c r="Y172">
        <v>0.333</v>
      </c>
      <c r="Z172">
        <v>0.989</v>
      </c>
      <c r="AA172">
        <v>1</v>
      </c>
      <c r="AB172">
        <v>0.792</v>
      </c>
      <c r="AC172">
        <v>0.935</v>
      </c>
      <c r="AD172">
        <v>1</v>
      </c>
      <c r="AE172">
        <v>1</v>
      </c>
      <c r="AF172">
        <v>0.994</v>
      </c>
      <c r="AG172">
        <v>1</v>
      </c>
      <c r="AH17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73" xml:space="preserve">
      <c r="A173">
        <v>45980</v>
      </c>
      <c r="B173" t="str">
        <v>Region 4</v>
      </c>
      <c r="C173" t="str">
        <v>Juanda Airport Surabaya</v>
      </c>
      <c r="D173" t="str">
        <v>SUB</v>
      </c>
      <c r="E173">
        <v>0.9</v>
      </c>
      <c r="F173">
        <v>1</v>
      </c>
      <c r="G173">
        <v>1</v>
      </c>
      <c r="H173">
        <v>1</v>
      </c>
      <c r="I173">
        <v>1</v>
      </c>
      <c r="J173">
        <v>1</v>
      </c>
      <c r="K173" t="str">
        <v>95,80%</v>
      </c>
      <c r="M173">
        <v>0.9812</v>
      </c>
      <c r="N173">
        <v>0.9609649122807017</v>
      </c>
      <c r="O173">
        <v>1</v>
      </c>
      <c r="P173">
        <v>0.9977678571428572</v>
      </c>
      <c r="Q173">
        <v>0.9981</v>
      </c>
      <c r="R173">
        <v>1</v>
      </c>
      <c r="S173">
        <v>0.9105820105820105</v>
      </c>
      <c r="U173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3">
        <v>1</v>
      </c>
      <c r="W173">
        <v>1</v>
      </c>
      <c r="X173">
        <v>1</v>
      </c>
      <c r="Y173">
        <v>0.333</v>
      </c>
      <c r="Z173">
        <v>0.988</v>
      </c>
      <c r="AA173">
        <v>1</v>
      </c>
      <c r="AB173">
        <v>0.757</v>
      </c>
      <c r="AC173">
        <v>0.919</v>
      </c>
      <c r="AD173">
        <v>1</v>
      </c>
      <c r="AE173">
        <v>1</v>
      </c>
      <c r="AF173">
        <v>0.994</v>
      </c>
      <c r="AG173">
        <v>1</v>
      </c>
      <c r="AH17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74" xml:space="preserve">
      <c r="A174">
        <v>45981</v>
      </c>
      <c r="B174" t="str">
        <v>Region 4</v>
      </c>
      <c r="C174" t="str">
        <v>Juanda Airport Surabaya</v>
      </c>
      <c r="D174" t="str">
        <v>SUB</v>
      </c>
      <c r="E174">
        <v>0.9</v>
      </c>
      <c r="F174">
        <v>1</v>
      </c>
      <c r="G174">
        <v>1</v>
      </c>
      <c r="H174">
        <v>1</v>
      </c>
      <c r="I174">
        <v>1</v>
      </c>
      <c r="J174">
        <v>1</v>
      </c>
      <c r="K174" t="str">
        <v>95,80%</v>
      </c>
      <c r="M174">
        <v>0.9812</v>
      </c>
      <c r="N174">
        <v>0.9609649122807017</v>
      </c>
      <c r="O174">
        <v>1</v>
      </c>
      <c r="P174">
        <v>0.9977678571428572</v>
      </c>
      <c r="Q174">
        <v>0.9981</v>
      </c>
      <c r="R174">
        <v>1</v>
      </c>
      <c r="S174">
        <v>0.9105820105820105</v>
      </c>
      <c r="U174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4">
        <v>1</v>
      </c>
      <c r="W174">
        <v>1</v>
      </c>
      <c r="X174">
        <v>1</v>
      </c>
      <c r="Y174">
        <v>0.333</v>
      </c>
      <c r="Z174">
        <v>0.988</v>
      </c>
      <c r="AA174">
        <v>1</v>
      </c>
      <c r="AB174">
        <v>0.757</v>
      </c>
      <c r="AC174">
        <v>0.919</v>
      </c>
      <c r="AD174">
        <v>1</v>
      </c>
      <c r="AE174">
        <v>1</v>
      </c>
      <c r="AF174">
        <v>0.994</v>
      </c>
      <c r="AG174">
        <v>1</v>
      </c>
      <c r="AH17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75" xml:space="preserve">
      <c r="A175">
        <v>45982</v>
      </c>
      <c r="B175" t="str">
        <v>Region 4</v>
      </c>
      <c r="C175" t="str">
        <v>Juanda Airport Surabaya</v>
      </c>
      <c r="D175" t="str">
        <v>SUB</v>
      </c>
      <c r="E175">
        <v>0.899999999999999</v>
      </c>
      <c r="F175">
        <v>1</v>
      </c>
      <c r="G175">
        <v>1</v>
      </c>
      <c r="H175">
        <v>1</v>
      </c>
      <c r="I175">
        <v>1</v>
      </c>
      <c r="J175">
        <v>1</v>
      </c>
      <c r="K175" t="str">
        <v>95,80%</v>
      </c>
      <c r="M175">
        <v>0.9812</v>
      </c>
      <c r="N175">
        <v>0.9609649122807017</v>
      </c>
      <c r="O175">
        <v>1</v>
      </c>
      <c r="P175">
        <v>0.9977678571428572</v>
      </c>
      <c r="Q175">
        <v>0.9981</v>
      </c>
      <c r="R175">
        <v>1</v>
      </c>
      <c r="S175">
        <v>0.9105820105820105</v>
      </c>
      <c r="U175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5">
        <v>1</v>
      </c>
      <c r="W175">
        <v>1</v>
      </c>
      <c r="X175">
        <v>1</v>
      </c>
      <c r="Y175">
        <v>0.333</v>
      </c>
      <c r="Z175">
        <v>0.988</v>
      </c>
      <c r="AA175">
        <v>1</v>
      </c>
      <c r="AB175">
        <v>0.757</v>
      </c>
      <c r="AC175">
        <v>0.919</v>
      </c>
      <c r="AD175">
        <v>1</v>
      </c>
      <c r="AE175">
        <v>1</v>
      </c>
      <c r="AF175">
        <v>0.994</v>
      </c>
      <c r="AG175">
        <v>1</v>
      </c>
      <c r="AH17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76" xml:space="preserve">
      <c r="A176">
        <v>45983</v>
      </c>
      <c r="B176" t="str">
        <v>Region 4</v>
      </c>
      <c r="C176" t="str">
        <v>Juanda Airport Surabaya</v>
      </c>
      <c r="D176" t="str">
        <v>SUB</v>
      </c>
      <c r="E176">
        <v>0.899999999999999</v>
      </c>
      <c r="F176">
        <v>1</v>
      </c>
      <c r="G176">
        <v>1</v>
      </c>
      <c r="H176">
        <v>1</v>
      </c>
      <c r="I176">
        <v>1</v>
      </c>
      <c r="J176">
        <v>1</v>
      </c>
      <c r="K176" t="str">
        <v>95,80%</v>
      </c>
      <c r="M176">
        <v>0.9812</v>
      </c>
      <c r="N176">
        <v>0.9609649122807017</v>
      </c>
      <c r="O176">
        <v>1</v>
      </c>
      <c r="P176">
        <v>0.9977678571428572</v>
      </c>
      <c r="Q176">
        <v>0.9981</v>
      </c>
      <c r="R176">
        <v>1</v>
      </c>
      <c r="S176">
        <v>0.9105820105820105</v>
      </c>
      <c r="U176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6">
        <v>1</v>
      </c>
      <c r="W176">
        <v>1</v>
      </c>
      <c r="X176">
        <v>1</v>
      </c>
      <c r="Y176">
        <v>0.333</v>
      </c>
      <c r="Z176">
        <v>0.988</v>
      </c>
      <c r="AA176">
        <v>1</v>
      </c>
      <c r="AB176">
        <v>0.757</v>
      </c>
      <c r="AC176">
        <v>0.919</v>
      </c>
      <c r="AD176">
        <v>1</v>
      </c>
      <c r="AE176">
        <v>1</v>
      </c>
      <c r="AF176">
        <v>0.994</v>
      </c>
      <c r="AG176">
        <v>1</v>
      </c>
      <c r="AH17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77" xml:space="preserve">
      <c r="A177">
        <v>45984</v>
      </c>
      <c r="B177" t="str">
        <v>Region 4</v>
      </c>
      <c r="C177" t="str">
        <v>Juanda Airport Surabaya</v>
      </c>
      <c r="D177" t="str">
        <v>SUB</v>
      </c>
      <c r="E177">
        <v>0.899999999999999</v>
      </c>
      <c r="F177">
        <v>1</v>
      </c>
      <c r="G177">
        <v>1</v>
      </c>
      <c r="H177">
        <v>1</v>
      </c>
      <c r="I177">
        <v>1</v>
      </c>
      <c r="J177">
        <v>1</v>
      </c>
      <c r="K177" t="str">
        <v>95,80%</v>
      </c>
      <c r="M177">
        <v>0.9812</v>
      </c>
      <c r="N177">
        <v>0.9609649122807017</v>
      </c>
      <c r="O177">
        <v>1</v>
      </c>
      <c r="P177">
        <v>0.9977678571428572</v>
      </c>
      <c r="Q177">
        <v>0.9981</v>
      </c>
      <c r="R177">
        <v>1</v>
      </c>
      <c r="S177">
        <v>0.9105820105820105</v>
      </c>
      <c r="U177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7">
        <v>1</v>
      </c>
      <c r="W177">
        <v>1</v>
      </c>
      <c r="X177">
        <v>1</v>
      </c>
      <c r="Y177">
        <v>0.333</v>
      </c>
      <c r="Z177">
        <v>0.988</v>
      </c>
      <c r="AA177">
        <v>1</v>
      </c>
      <c r="AB177">
        <v>0.757</v>
      </c>
      <c r="AC177">
        <v>0.919</v>
      </c>
      <c r="AD177">
        <v>1</v>
      </c>
      <c r="AE177">
        <v>1</v>
      </c>
      <c r="AF177">
        <v>0.994</v>
      </c>
      <c r="AG177">
        <v>1</v>
      </c>
      <c r="AH17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78" xml:space="preserve">
      <c r="A178">
        <v>45985</v>
      </c>
      <c r="B178" t="str">
        <v>Region 4</v>
      </c>
      <c r="C178" t="str">
        <v>Juanda Airport Surabaya</v>
      </c>
      <c r="D178" t="str">
        <v>SUB</v>
      </c>
      <c r="E178">
        <v>0.899999999999999</v>
      </c>
      <c r="F178">
        <v>1</v>
      </c>
      <c r="G178">
        <v>1</v>
      </c>
      <c r="H178">
        <v>1</v>
      </c>
      <c r="I178">
        <v>1</v>
      </c>
      <c r="J178">
        <v>1</v>
      </c>
      <c r="K178" t="str">
        <v>95,80%</v>
      </c>
      <c r="M178">
        <v>0.9812</v>
      </c>
      <c r="N178">
        <v>0.9609649122807017</v>
      </c>
      <c r="O178">
        <v>1</v>
      </c>
      <c r="P178">
        <v>0.9977678571428572</v>
      </c>
      <c r="Q178">
        <v>0.9981</v>
      </c>
      <c r="R178">
        <v>1</v>
      </c>
      <c r="S178">
        <v>0.9105820105820105</v>
      </c>
      <c r="U178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8">
        <v>1</v>
      </c>
      <c r="W178">
        <v>1</v>
      </c>
      <c r="X178">
        <v>1</v>
      </c>
      <c r="Y178">
        <v>0.333</v>
      </c>
      <c r="Z178">
        <v>0.988</v>
      </c>
      <c r="AA178">
        <v>1</v>
      </c>
      <c r="AB178">
        <v>0.757</v>
      </c>
      <c r="AC178">
        <v>0.919</v>
      </c>
      <c r="AD178">
        <v>1</v>
      </c>
      <c r="AE178">
        <v>1</v>
      </c>
      <c r="AF178">
        <v>0.994</v>
      </c>
      <c r="AG178">
        <v>1</v>
      </c>
      <c r="AH17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79" xml:space="preserve">
      <c r="A179">
        <v>45986</v>
      </c>
      <c r="B179" t="str">
        <v>Region 4</v>
      </c>
      <c r="C179" t="str">
        <v>Juanda Airport Surabaya</v>
      </c>
      <c r="D179" t="str">
        <v>SUB</v>
      </c>
      <c r="E179">
        <v>0.899999999999999</v>
      </c>
      <c r="F179">
        <v>1</v>
      </c>
      <c r="G179">
        <v>1</v>
      </c>
      <c r="H179">
        <v>1</v>
      </c>
      <c r="I179">
        <v>1</v>
      </c>
      <c r="J179">
        <v>1</v>
      </c>
      <c r="K179" t="str">
        <v>95,80%</v>
      </c>
      <c r="M179">
        <v>0.9812</v>
      </c>
      <c r="N179">
        <v>0.9609649122807017</v>
      </c>
      <c r="O179">
        <v>1</v>
      </c>
      <c r="P179">
        <v>0.9977678571428572</v>
      </c>
      <c r="Q179">
        <v>0.9981</v>
      </c>
      <c r="R179">
        <v>1</v>
      </c>
      <c r="S179">
        <v>0.9105820105820105</v>
      </c>
      <c r="U179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79">
        <v>1</v>
      </c>
      <c r="W179">
        <v>1</v>
      </c>
      <c r="X179">
        <v>1</v>
      </c>
      <c r="Y179">
        <v>0.333</v>
      </c>
      <c r="Z179">
        <v>0.989</v>
      </c>
      <c r="AA179">
        <v>1</v>
      </c>
      <c r="AB179">
        <v>0.792</v>
      </c>
      <c r="AC179">
        <v>0.919</v>
      </c>
      <c r="AD179">
        <v>1</v>
      </c>
      <c r="AE179">
        <v>1</v>
      </c>
      <c r="AF179">
        <v>0.994</v>
      </c>
      <c r="AG179">
        <v>1</v>
      </c>
      <c r="AH17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80" xml:space="preserve">
      <c r="A180">
        <v>45987</v>
      </c>
      <c r="B180" t="str">
        <v>Region 4</v>
      </c>
      <c r="C180" t="str">
        <v>Juanda Airport Surabaya</v>
      </c>
      <c r="D180" t="str">
        <v>SUB</v>
      </c>
      <c r="E180">
        <v>0.899999999999999</v>
      </c>
      <c r="F180">
        <v>1</v>
      </c>
      <c r="G180">
        <v>1</v>
      </c>
      <c r="H180">
        <v>1</v>
      </c>
      <c r="I180">
        <v>1</v>
      </c>
      <c r="J180">
        <v>1</v>
      </c>
      <c r="K180" t="str">
        <v>95,80%</v>
      </c>
      <c r="M180">
        <v>0.9812</v>
      </c>
      <c r="N180">
        <v>0.9609649122807017</v>
      </c>
      <c r="O180">
        <v>1</v>
      </c>
      <c r="P180">
        <v>0.9977678571428572</v>
      </c>
      <c r="Q180">
        <v>0.9981</v>
      </c>
      <c r="R180">
        <v>1</v>
      </c>
      <c r="S180">
        <v>0.9105820105820105</v>
      </c>
      <c r="U180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80">
        <v>1</v>
      </c>
      <c r="W180">
        <v>1</v>
      </c>
      <c r="X180">
        <v>1</v>
      </c>
      <c r="Y180">
        <v>0.333</v>
      </c>
      <c r="Z180">
        <v>0.989</v>
      </c>
      <c r="AA180">
        <v>1</v>
      </c>
      <c r="AB180">
        <v>0.792</v>
      </c>
      <c r="AC180">
        <v>0.919</v>
      </c>
      <c r="AD180">
        <v>1</v>
      </c>
      <c r="AE180">
        <v>1</v>
      </c>
      <c r="AF180">
        <v>0.994</v>
      </c>
      <c r="AG180">
        <v>1</v>
      </c>
      <c r="AH18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dan 1 unit ETD (Sniffer) kondisi tidak operasional karena "Humidity too high" consumable part Dryer ETD Habis.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81" xml:space="preserve">
      <c r="A181">
        <v>45988</v>
      </c>
      <c r="B181" t="str">
        <v>Region 4</v>
      </c>
      <c r="C181" t="str">
        <v>Juanda Airport Surabaya</v>
      </c>
      <c r="D181" t="str">
        <v>SUB</v>
      </c>
      <c r="E181">
        <v>0.899999999999999</v>
      </c>
      <c r="F181">
        <v>1</v>
      </c>
      <c r="G181">
        <v>1</v>
      </c>
      <c r="H181">
        <v>1</v>
      </c>
      <c r="I181">
        <v>1</v>
      </c>
      <c r="J181">
        <v>1</v>
      </c>
      <c r="K181" t="str">
        <v>95,80%</v>
      </c>
      <c r="M181">
        <v>0.9812</v>
      </c>
      <c r="N181">
        <v>0.9609649122807017</v>
      </c>
      <c r="O181">
        <v>1</v>
      </c>
      <c r="P181">
        <v>0.9977678571428572</v>
      </c>
      <c r="Q181">
        <v>0.9981</v>
      </c>
      <c r="R181">
        <v>1</v>
      </c>
      <c r="S181">
        <v>0.9105820105820105</v>
      </c>
      <c r="U181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81">
        <v>1</v>
      </c>
      <c r="W181">
        <v>1</v>
      </c>
      <c r="X181">
        <v>1</v>
      </c>
      <c r="Y181">
        <v>0.667</v>
      </c>
      <c r="Z181">
        <v>0.989</v>
      </c>
      <c r="AA181">
        <v>1</v>
      </c>
      <c r="AB181">
        <v>0.792</v>
      </c>
      <c r="AC181">
        <v>0.919</v>
      </c>
      <c r="AD181">
        <v>1</v>
      </c>
      <c r="AE181">
        <v>1</v>
      </c>
      <c r="AF181">
        <v>0.994</v>
      </c>
      <c r="AG181">
        <v>1</v>
      </c>
      <c r="AH18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82" xml:space="preserve">
      <c r="A182">
        <v>45989</v>
      </c>
      <c r="B182" t="str">
        <v>Region 4</v>
      </c>
      <c r="C182" t="str">
        <v>Juanda Airport Surabaya</v>
      </c>
      <c r="D182" t="str">
        <v>SUB</v>
      </c>
      <c r="E182">
        <v>0.9</v>
      </c>
      <c r="F182">
        <v>1</v>
      </c>
      <c r="G182">
        <v>1</v>
      </c>
      <c r="H182">
        <v>1</v>
      </c>
      <c r="I182">
        <v>1</v>
      </c>
      <c r="J182">
        <v>1</v>
      </c>
      <c r="K182" t="str">
        <v>95,80%</v>
      </c>
      <c r="M182">
        <v>0.9812</v>
      </c>
      <c r="N182">
        <v>0.9609649122807017</v>
      </c>
      <c r="O182">
        <v>1</v>
      </c>
      <c r="P182">
        <v>0.9977678571428572</v>
      </c>
      <c r="Q182">
        <v>0.9981</v>
      </c>
      <c r="R182">
        <v>1</v>
      </c>
      <c r="S182">
        <v>0.9105820105820105</v>
      </c>
      <c r="U182" t="str" xml:space="preserve">
        <v xml:space="preserve">- Chiller No. 2 Terminal 1 A Kerusakan VC Switch _x000d_
- Chiller No. 4 Terminal 1 B Kerusakan Kebocoran pada Spare part chiller  _x000d_
- Chiller No. 2 Terminal 2 Kerusakan pada Retrovit control modul _x000d_
- Chiller No. 4 Terminal 2 Kerusakan pada Retrovit control modul </v>
      </c>
      <c r="V182">
        <v>1</v>
      </c>
      <c r="W182">
        <v>1</v>
      </c>
      <c r="X182">
        <v>1</v>
      </c>
      <c r="Y182">
        <v>0.667</v>
      </c>
      <c r="Z182">
        <v>0.989</v>
      </c>
      <c r="AA182">
        <v>1</v>
      </c>
      <c r="AB182">
        <v>0.792</v>
      </c>
      <c r="AC182">
        <v>0.919</v>
      </c>
      <c r="AD182">
        <v>1</v>
      </c>
      <c r="AE182">
        <v>1</v>
      </c>
      <c r="AF182">
        <v>0.994</v>
      </c>
      <c r="AG182">
        <v>1</v>
      </c>
      <c r="AH18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83" xml:space="preserve">
      <c r="A183">
        <v>45990</v>
      </c>
      <c r="B183" t="str">
        <v>Region 4</v>
      </c>
      <c r="C183" t="str">
        <v>Juanda Airport Surabaya</v>
      </c>
      <c r="D183" t="str">
        <v>SUB</v>
      </c>
      <c r="E183">
        <v>0.9</v>
      </c>
      <c r="F183">
        <v>1</v>
      </c>
      <c r="G183">
        <v>1</v>
      </c>
      <c r="H183">
        <v>1</v>
      </c>
      <c r="I183">
        <v>1</v>
      </c>
      <c r="J183">
        <v>1</v>
      </c>
      <c r="K183" t="str">
        <v>95,80%</v>
      </c>
      <c r="M183">
        <v>0.9812</v>
      </c>
      <c r="N183">
        <v>0.9609649122807017</v>
      </c>
      <c r="O183">
        <v>1</v>
      </c>
      <c r="P183">
        <v>0.9977678571428572</v>
      </c>
      <c r="Q183">
        <v>0.9981</v>
      </c>
      <c r="R183">
        <v>1</v>
      </c>
      <c r="S183">
        <v>0.9105820105820105</v>
      </c>
      <c r="U183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83">
        <v>1</v>
      </c>
      <c r="W183">
        <v>1</v>
      </c>
      <c r="X183">
        <v>1</v>
      </c>
      <c r="Y183">
        <v>0.667</v>
      </c>
      <c r="Z183">
        <v>0.989</v>
      </c>
      <c r="AA183">
        <v>1</v>
      </c>
      <c r="AB183">
        <v>0.792</v>
      </c>
      <c r="AC183">
        <v>0.919</v>
      </c>
      <c r="AD183">
        <v>1</v>
      </c>
      <c r="AE183">
        <v>1</v>
      </c>
      <c r="AF183">
        <v>0.994</v>
      </c>
      <c r="AG183">
        <v>1</v>
      </c>
      <c r="AH18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84" xml:space="preserve">
      <c r="A184">
        <v>45991</v>
      </c>
      <c r="B184" t="str">
        <v>Region 4</v>
      </c>
      <c r="C184" t="str">
        <v>Juanda Airport Surabaya</v>
      </c>
      <c r="D184" t="str">
        <v>SUB</v>
      </c>
      <c r="E184">
        <v>0.9</v>
      </c>
      <c r="F184">
        <v>1</v>
      </c>
      <c r="G184">
        <v>1</v>
      </c>
      <c r="H184">
        <v>1</v>
      </c>
      <c r="I184">
        <v>1</v>
      </c>
      <c r="J184">
        <v>1</v>
      </c>
      <c r="K184" t="str">
        <v>95,80%</v>
      </c>
      <c r="M184">
        <v>0.9812</v>
      </c>
      <c r="N184">
        <v>0.9609649122807017</v>
      </c>
      <c r="O184">
        <v>1</v>
      </c>
      <c r="P184">
        <v>0.9977678571428572</v>
      </c>
      <c r="Q184">
        <v>0.9981</v>
      </c>
      <c r="R184">
        <v>1</v>
      </c>
      <c r="S184">
        <v>0.9105820105820105</v>
      </c>
      <c r="U184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84">
        <v>1</v>
      </c>
      <c r="W184">
        <v>1</v>
      </c>
      <c r="X184">
        <v>1</v>
      </c>
      <c r="Y184">
        <v>0.667</v>
      </c>
      <c r="Z184">
        <v>0.989</v>
      </c>
      <c r="AA184">
        <v>1</v>
      </c>
      <c r="AB184">
        <v>0.792</v>
      </c>
      <c r="AC184">
        <v>0.919</v>
      </c>
      <c r="AD184">
        <v>1</v>
      </c>
      <c r="AE184">
        <v>1</v>
      </c>
      <c r="AF184">
        <v>0.994</v>
      </c>
      <c r="AG184">
        <v>1</v>
      </c>
      <c r="AH18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  Kerusakan 1 jalur flap barrier T1 karena motor barrier rusak</v>
      </c>
    </row>
    <row r="185" xml:space="preserve">
      <c r="A185">
        <v>45992</v>
      </c>
      <c r="B185" t="str">
        <v>Region 4</v>
      </c>
      <c r="C185" t="str">
        <v>Juanda Airport Surabaya</v>
      </c>
      <c r="D185" t="str">
        <v>SUB</v>
      </c>
      <c r="E185">
        <v>0.9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0.958</v>
      </c>
      <c r="M185">
        <v>0.9646</v>
      </c>
      <c r="N185">
        <v>0.9912</v>
      </c>
      <c r="O185">
        <v>1</v>
      </c>
      <c r="P185">
        <v>0.9977678571428572</v>
      </c>
      <c r="Q185">
        <v>0.9583</v>
      </c>
      <c r="R185">
        <v>0.9</v>
      </c>
      <c r="S185">
        <v>0.9038</v>
      </c>
      <c r="U185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85">
        <v>1</v>
      </c>
      <c r="W185">
        <v>1</v>
      </c>
      <c r="X185">
        <v>1</v>
      </c>
      <c r="Y185">
        <v>0.667</v>
      </c>
      <c r="Z185">
        <v>0.989</v>
      </c>
      <c r="AA185">
        <v>1</v>
      </c>
      <c r="AB185">
        <v>0.792</v>
      </c>
      <c r="AC185">
        <v>0.919</v>
      </c>
      <c r="AD185">
        <v>1</v>
      </c>
      <c r="AE185">
        <v>1</v>
      </c>
      <c r="AF185">
        <v>0.994</v>
      </c>
      <c r="AG185">
        <v>1</v>
      </c>
      <c r="AH18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86" xml:space="preserve">
      <c r="A186">
        <v>45993</v>
      </c>
      <c r="B186" t="str">
        <v>Region 4</v>
      </c>
      <c r="C186" t="str">
        <v>Juanda Airport Surabaya</v>
      </c>
      <c r="D186" t="str">
        <v>SUB</v>
      </c>
      <c r="E186">
        <v>0.9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0.958</v>
      </c>
      <c r="M186">
        <v>0.9646</v>
      </c>
      <c r="N186">
        <v>0.9912</v>
      </c>
      <c r="O186">
        <v>1</v>
      </c>
      <c r="P186">
        <v>0.9977678571428572</v>
      </c>
      <c r="Q186">
        <v>0.9583</v>
      </c>
      <c r="R186">
        <v>0.9</v>
      </c>
      <c r="S186">
        <v>0.9038</v>
      </c>
      <c r="U186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86">
        <v>1</v>
      </c>
      <c r="W186">
        <v>1</v>
      </c>
      <c r="X186">
        <v>1</v>
      </c>
      <c r="Y186">
        <v>0.667</v>
      </c>
      <c r="Z186">
        <v>0.989</v>
      </c>
      <c r="AA186">
        <v>1</v>
      </c>
      <c r="AB186">
        <v>0.792</v>
      </c>
      <c r="AC186">
        <v>0.919</v>
      </c>
      <c r="AD186">
        <v>1</v>
      </c>
      <c r="AE186">
        <v>1</v>
      </c>
      <c r="AF186">
        <v>0.994</v>
      </c>
      <c r="AG186">
        <v>1</v>
      </c>
      <c r="AH18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87" xml:space="preserve">
      <c r="A187">
        <v>45994</v>
      </c>
      <c r="B187" t="str">
        <v>Region 4</v>
      </c>
      <c r="C187" t="str">
        <v>Juanda Airport Surabaya</v>
      </c>
      <c r="D187" t="str">
        <v>SUB</v>
      </c>
      <c r="E187">
        <v>0.9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0.958</v>
      </c>
      <c r="M187">
        <v>0.9646</v>
      </c>
      <c r="N187">
        <v>0.9912</v>
      </c>
      <c r="O187">
        <v>1</v>
      </c>
      <c r="P187">
        <v>0.9977678571428572</v>
      </c>
      <c r="Q187">
        <v>0.9583</v>
      </c>
      <c r="R187">
        <v>0.9</v>
      </c>
      <c r="S187">
        <v>0.9038</v>
      </c>
      <c r="U187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87">
        <v>1</v>
      </c>
      <c r="W187">
        <v>1</v>
      </c>
      <c r="X187">
        <v>1</v>
      </c>
      <c r="Y187">
        <v>0.667</v>
      </c>
      <c r="Z187">
        <v>0.989</v>
      </c>
      <c r="AA187">
        <v>1</v>
      </c>
      <c r="AB187">
        <v>0.792</v>
      </c>
      <c r="AC187">
        <v>0.919</v>
      </c>
      <c r="AD187">
        <v>1</v>
      </c>
      <c r="AE187">
        <v>1</v>
      </c>
      <c r="AF187">
        <v>0.994</v>
      </c>
      <c r="AG187">
        <v>1</v>
      </c>
      <c r="AH18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88" xml:space="preserve">
      <c r="A188">
        <v>45995</v>
      </c>
      <c r="B188" t="str">
        <v>Region 4</v>
      </c>
      <c r="C188" t="str">
        <v>Juanda Airport Surabaya</v>
      </c>
      <c r="D188" t="str">
        <v>SUB</v>
      </c>
      <c r="E188">
        <v>0.9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0.958</v>
      </c>
      <c r="M188">
        <v>0.9646</v>
      </c>
      <c r="N188">
        <v>0.9912</v>
      </c>
      <c r="O188">
        <v>1</v>
      </c>
      <c r="P188">
        <v>0.9977678571428572</v>
      </c>
      <c r="Q188">
        <v>0.9583</v>
      </c>
      <c r="R188">
        <v>0.9</v>
      </c>
      <c r="S188">
        <v>0.9038</v>
      </c>
      <c r="U188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88">
        <v>1</v>
      </c>
      <c r="W188">
        <v>1</v>
      </c>
      <c r="X188">
        <v>1</v>
      </c>
      <c r="Y188">
        <v>0.667</v>
      </c>
      <c r="Z188">
        <v>0.989</v>
      </c>
      <c r="AA188">
        <v>1</v>
      </c>
      <c r="AB188">
        <v>0.792</v>
      </c>
      <c r="AC188">
        <v>0.919</v>
      </c>
      <c r="AD188">
        <v>1</v>
      </c>
      <c r="AE188">
        <v>1</v>
      </c>
      <c r="AF188">
        <v>0.994</v>
      </c>
      <c r="AG188">
        <v>1</v>
      </c>
      <c r="AH18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89" xml:space="preserve">
      <c r="A189">
        <v>45996</v>
      </c>
      <c r="B189" t="str">
        <v>Region 4</v>
      </c>
      <c r="C189" t="str">
        <v>Juanda Airport Surabaya</v>
      </c>
      <c r="D189" t="str">
        <v>SUB</v>
      </c>
      <c r="E189">
        <v>0.9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0.958</v>
      </c>
      <c r="M189">
        <v>0.9646</v>
      </c>
      <c r="N189">
        <v>0.9912</v>
      </c>
      <c r="O189">
        <v>1</v>
      </c>
      <c r="P189">
        <v>0.9977678571428572</v>
      </c>
      <c r="Q189">
        <v>0.9583</v>
      </c>
      <c r="R189">
        <v>0.9</v>
      </c>
      <c r="S189">
        <v>0.9038</v>
      </c>
      <c r="U189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89">
        <v>1</v>
      </c>
      <c r="W189">
        <v>1</v>
      </c>
      <c r="X189">
        <v>1</v>
      </c>
      <c r="Y189">
        <v>0.667</v>
      </c>
      <c r="Z189">
        <v>0.989</v>
      </c>
      <c r="AA189">
        <v>1</v>
      </c>
      <c r="AB189">
        <v>0.792</v>
      </c>
      <c r="AC189">
        <v>0.919</v>
      </c>
      <c r="AD189">
        <v>1</v>
      </c>
      <c r="AE189">
        <v>1</v>
      </c>
      <c r="AF189">
        <v>0.994</v>
      </c>
      <c r="AG189">
        <v>1</v>
      </c>
      <c r="AH18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0" xml:space="preserve">
      <c r="A190">
        <v>45997</v>
      </c>
      <c r="B190" t="str">
        <v>Region 4</v>
      </c>
      <c r="C190" t="str">
        <v>Juanda Airport Surabaya</v>
      </c>
      <c r="D190" t="str">
        <v>SUB</v>
      </c>
      <c r="E190">
        <v>0.9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0.958</v>
      </c>
      <c r="M190">
        <v>0.9646</v>
      </c>
      <c r="N190">
        <v>0.9912</v>
      </c>
      <c r="O190">
        <v>1</v>
      </c>
      <c r="P190">
        <v>0.9977678571428572</v>
      </c>
      <c r="Q190">
        <v>0.9583</v>
      </c>
      <c r="R190">
        <v>0.9</v>
      </c>
      <c r="S190">
        <v>0.9038</v>
      </c>
      <c r="U190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0">
        <v>1</v>
      </c>
      <c r="W190">
        <v>1</v>
      </c>
      <c r="X190">
        <v>1</v>
      </c>
      <c r="Y190">
        <v>0.667</v>
      </c>
      <c r="Z190">
        <v>0.989</v>
      </c>
      <c r="AA190">
        <v>1</v>
      </c>
      <c r="AB190">
        <v>0.792</v>
      </c>
      <c r="AC190">
        <v>0.919</v>
      </c>
      <c r="AD190">
        <v>1</v>
      </c>
      <c r="AE190">
        <v>1</v>
      </c>
      <c r="AF190">
        <v>0.994</v>
      </c>
      <c r="AG190">
        <v>1</v>
      </c>
      <c r="AH19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1" xml:space="preserve">
      <c r="A191">
        <v>45998</v>
      </c>
      <c r="B191" t="str">
        <v>Region 4</v>
      </c>
      <c r="C191" t="str">
        <v>Juanda Airport Surabaya</v>
      </c>
      <c r="D191" t="str">
        <v>SUB</v>
      </c>
      <c r="E191">
        <v>0.9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0.958</v>
      </c>
      <c r="M191">
        <v>0.9646</v>
      </c>
      <c r="N191">
        <v>0.9912</v>
      </c>
      <c r="O191">
        <v>1</v>
      </c>
      <c r="P191">
        <v>0.9977678571428572</v>
      </c>
      <c r="Q191">
        <v>0.9583</v>
      </c>
      <c r="R191">
        <v>0.9</v>
      </c>
      <c r="S191">
        <v>0.9038</v>
      </c>
      <c r="U191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1">
        <v>1</v>
      </c>
      <c r="W191">
        <v>1</v>
      </c>
      <c r="X191">
        <v>1</v>
      </c>
      <c r="Y191">
        <v>0.667</v>
      </c>
      <c r="Z191">
        <v>0.989</v>
      </c>
      <c r="AA191">
        <v>1</v>
      </c>
      <c r="AB191">
        <v>0.792</v>
      </c>
      <c r="AC191">
        <v>0.919</v>
      </c>
      <c r="AD191">
        <v>1</v>
      </c>
      <c r="AE191">
        <v>1</v>
      </c>
      <c r="AF191">
        <v>0.994</v>
      </c>
      <c r="AG191">
        <v>1</v>
      </c>
      <c r="AH19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2" xml:space="preserve">
      <c r="A192">
        <v>45999</v>
      </c>
      <c r="B192" t="str">
        <v>Region 4</v>
      </c>
      <c r="C192" t="str">
        <v>Juanda Airport Surabaya</v>
      </c>
      <c r="D192" t="str">
        <v>SUB</v>
      </c>
      <c r="E192">
        <v>0.9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0.958</v>
      </c>
      <c r="M192">
        <v>0.9646</v>
      </c>
      <c r="N192">
        <v>0.9912</v>
      </c>
      <c r="O192">
        <v>1</v>
      </c>
      <c r="P192">
        <v>0.9977678571428572</v>
      </c>
      <c r="Q192">
        <v>0.9583</v>
      </c>
      <c r="R192">
        <v>0.9</v>
      </c>
      <c r="S192">
        <v>0.9038</v>
      </c>
      <c r="U192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2">
        <v>1</v>
      </c>
      <c r="W192">
        <v>1</v>
      </c>
      <c r="X192">
        <v>1</v>
      </c>
      <c r="Y192">
        <v>0.667</v>
      </c>
      <c r="Z192">
        <v>0.989</v>
      </c>
      <c r="AA192">
        <v>1</v>
      </c>
      <c r="AB192">
        <v>0.792</v>
      </c>
      <c r="AC192">
        <v>0.919</v>
      </c>
      <c r="AD192">
        <v>1</v>
      </c>
      <c r="AE192">
        <v>1</v>
      </c>
      <c r="AF192">
        <v>0.994</v>
      </c>
      <c r="AG192">
        <v>1</v>
      </c>
      <c r="AH19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3" xml:space="preserve">
      <c r="A193">
        <v>46000</v>
      </c>
      <c r="B193" t="str">
        <v>Region 4</v>
      </c>
      <c r="C193" t="str">
        <v>Juanda Airport Surabaya</v>
      </c>
      <c r="D193" t="str">
        <v>SUB</v>
      </c>
      <c r="E193">
        <v>0.9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0.958</v>
      </c>
      <c r="M193">
        <v>0.9646</v>
      </c>
      <c r="N193">
        <v>0.9912</v>
      </c>
      <c r="O193">
        <v>1</v>
      </c>
      <c r="P193">
        <v>0.9977678571428572</v>
      </c>
      <c r="Q193">
        <v>0.9583</v>
      </c>
      <c r="R193">
        <v>0.9</v>
      </c>
      <c r="S193">
        <v>0.9038</v>
      </c>
      <c r="U193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3">
        <v>1</v>
      </c>
      <c r="W193">
        <v>1</v>
      </c>
      <c r="X193">
        <v>1</v>
      </c>
      <c r="Y193">
        <v>0.667</v>
      </c>
      <c r="Z193">
        <v>0.989</v>
      </c>
      <c r="AA193">
        <v>1</v>
      </c>
      <c r="AB193">
        <v>0.792</v>
      </c>
      <c r="AC193">
        <v>0.919</v>
      </c>
      <c r="AD193">
        <v>1</v>
      </c>
      <c r="AE193">
        <v>1</v>
      </c>
      <c r="AF193">
        <v>0.994</v>
      </c>
      <c r="AG193">
        <v>1</v>
      </c>
      <c r="AH19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4" xml:space="preserve">
      <c r="A194">
        <v>46001</v>
      </c>
      <c r="B194" t="str">
        <v>Region 4</v>
      </c>
      <c r="C194" t="str">
        <v>Juanda Airport Surabaya</v>
      </c>
      <c r="D194" t="str">
        <v>SUB</v>
      </c>
      <c r="E194">
        <v>0.9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0.958</v>
      </c>
      <c r="M194">
        <v>0.9646</v>
      </c>
      <c r="N194">
        <v>0.9912</v>
      </c>
      <c r="O194">
        <v>1</v>
      </c>
      <c r="P194">
        <v>0.9977678571428572</v>
      </c>
      <c r="Q194">
        <v>0.9583</v>
      </c>
      <c r="R194">
        <v>0.9</v>
      </c>
      <c r="S194">
        <v>0.9038</v>
      </c>
      <c r="U194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4">
        <v>1</v>
      </c>
      <c r="W194">
        <v>1</v>
      </c>
      <c r="X194">
        <v>1</v>
      </c>
      <c r="Y194">
        <v>0.667</v>
      </c>
      <c r="Z194">
        <v>0.989</v>
      </c>
      <c r="AA194">
        <v>1</v>
      </c>
      <c r="AB194">
        <v>0.832</v>
      </c>
      <c r="AC194">
        <v>0.92</v>
      </c>
      <c r="AD194">
        <v>1</v>
      </c>
      <c r="AE194">
        <v>0.996</v>
      </c>
      <c r="AF194">
        <v>0.994</v>
      </c>
      <c r="AG194">
        <v>1</v>
      </c>
      <c r="AH19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5" xml:space="preserve">
      <c r="A195">
        <v>46002</v>
      </c>
      <c r="B195" t="str">
        <v>Region 4</v>
      </c>
      <c r="C195" t="str">
        <v>Juanda Airport Surabaya</v>
      </c>
      <c r="D195" t="str">
        <v>SUB</v>
      </c>
      <c r="E195">
        <v>0.9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0.958</v>
      </c>
      <c r="M195">
        <v>0.9646</v>
      </c>
      <c r="N195">
        <v>0.9912</v>
      </c>
      <c r="O195">
        <v>1</v>
      </c>
      <c r="P195">
        <v>0.9977678571428572</v>
      </c>
      <c r="Q195">
        <v>0.9583</v>
      </c>
      <c r="R195">
        <v>0.9</v>
      </c>
      <c r="S195">
        <v>0.9038</v>
      </c>
      <c r="U195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5">
        <v>1</v>
      </c>
      <c r="W195">
        <v>1</v>
      </c>
      <c r="X195">
        <v>1</v>
      </c>
      <c r="Y195">
        <v>0.667</v>
      </c>
      <c r="Z195">
        <v>0.989</v>
      </c>
      <c r="AA195">
        <v>1</v>
      </c>
      <c r="AB195">
        <v>0.832</v>
      </c>
      <c r="AC195">
        <v>0.92</v>
      </c>
      <c r="AD195">
        <v>1</v>
      </c>
      <c r="AE195">
        <v>0.996</v>
      </c>
      <c r="AF195">
        <v>0.994</v>
      </c>
      <c r="AG195">
        <v>1</v>
      </c>
      <c r="AH19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6" xml:space="preserve">
      <c r="A196">
        <v>46003</v>
      </c>
      <c r="B196" t="str">
        <v>Region 4</v>
      </c>
      <c r="C196" t="str">
        <v>Juanda Airport Surabaya</v>
      </c>
      <c r="D196" t="str">
        <v>SUB</v>
      </c>
      <c r="E196">
        <v>0.9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0.958</v>
      </c>
      <c r="M196">
        <v>0.9646</v>
      </c>
      <c r="N196">
        <v>0.9912</v>
      </c>
      <c r="O196">
        <v>1</v>
      </c>
      <c r="P196">
        <v>0.9977678571428572</v>
      </c>
      <c r="Q196">
        <v>0.9583</v>
      </c>
      <c r="R196">
        <v>0.9</v>
      </c>
      <c r="S196">
        <v>0.9038</v>
      </c>
      <c r="U196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6">
        <v>1</v>
      </c>
      <c r="W196">
        <v>1</v>
      </c>
      <c r="X196">
        <v>1</v>
      </c>
      <c r="Y196">
        <v>0.667</v>
      </c>
      <c r="Z196">
        <v>0.989</v>
      </c>
      <c r="AA196">
        <v>1</v>
      </c>
      <c r="AB196">
        <v>0.832</v>
      </c>
      <c r="AC196">
        <v>0.92</v>
      </c>
      <c r="AD196">
        <v>1</v>
      </c>
      <c r="AE196">
        <v>0.996</v>
      </c>
      <c r="AF196">
        <v>0.994</v>
      </c>
      <c r="AG196">
        <v>1</v>
      </c>
      <c r="AH19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7" xml:space="preserve">
      <c r="A197">
        <v>46004</v>
      </c>
      <c r="B197" t="str">
        <v>Region 4</v>
      </c>
      <c r="C197" t="str">
        <v>Juanda Airport Surabaya</v>
      </c>
      <c r="D197" t="str">
        <v>SUB</v>
      </c>
      <c r="E197">
        <v>0.9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0.958</v>
      </c>
      <c r="M197">
        <v>0.9646</v>
      </c>
      <c r="N197">
        <v>0.9912</v>
      </c>
      <c r="O197">
        <v>1</v>
      </c>
      <c r="P197">
        <v>0.9977678571428572</v>
      </c>
      <c r="Q197">
        <v>0.9583</v>
      </c>
      <c r="R197">
        <v>0.9</v>
      </c>
      <c r="S197">
        <v>0.9038</v>
      </c>
      <c r="U197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7">
        <v>1</v>
      </c>
      <c r="W197">
        <v>1</v>
      </c>
      <c r="X197">
        <v>1</v>
      </c>
      <c r="Y197">
        <v>0.667</v>
      </c>
      <c r="Z197">
        <v>0.989</v>
      </c>
      <c r="AA197">
        <v>1</v>
      </c>
      <c r="AB197">
        <v>0.832</v>
      </c>
      <c r="AC197">
        <v>0.92</v>
      </c>
      <c r="AD197">
        <v>1</v>
      </c>
      <c r="AE197">
        <v>0.996</v>
      </c>
      <c r="AF197">
        <v>0.994</v>
      </c>
      <c r="AG197">
        <v>1</v>
      </c>
      <c r="AH19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8" xml:space="preserve">
      <c r="A198">
        <v>46005</v>
      </c>
      <c r="B198" t="str">
        <v>Region 4</v>
      </c>
      <c r="C198" t="str">
        <v>Juanda Airport Surabaya</v>
      </c>
      <c r="D198" t="str">
        <v>SUB</v>
      </c>
      <c r="E198">
        <v>0.9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0.958</v>
      </c>
      <c r="M198">
        <v>0.9646</v>
      </c>
      <c r="N198">
        <v>0.9912</v>
      </c>
      <c r="O198">
        <v>1</v>
      </c>
      <c r="P198">
        <v>0.9977678571428572</v>
      </c>
      <c r="Q198">
        <v>0.9583</v>
      </c>
      <c r="R198">
        <v>0.9</v>
      </c>
      <c r="S198">
        <v>0.9038</v>
      </c>
      <c r="U198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8">
        <v>1</v>
      </c>
      <c r="W198">
        <v>1</v>
      </c>
      <c r="X198">
        <v>1</v>
      </c>
      <c r="Y198">
        <v>0.667</v>
      </c>
      <c r="Z198">
        <v>0.989</v>
      </c>
      <c r="AA198">
        <v>1</v>
      </c>
      <c r="AB198">
        <v>0.975</v>
      </c>
      <c r="AC198">
        <v>0.92</v>
      </c>
      <c r="AD198">
        <v>1</v>
      </c>
      <c r="AE198">
        <v>0.996</v>
      </c>
      <c r="AF198">
        <v>0.994</v>
      </c>
      <c r="AG198">
        <v>1</v>
      </c>
      <c r="AH19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199" xml:space="preserve">
      <c r="A199">
        <v>46006</v>
      </c>
      <c r="B199" t="str">
        <v>Region 4</v>
      </c>
      <c r="C199" t="str">
        <v>Juanda Airport Surabaya</v>
      </c>
      <c r="D199" t="str">
        <v>SUB</v>
      </c>
      <c r="E199">
        <v>0.9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0.958</v>
      </c>
      <c r="M199">
        <v>0.9646</v>
      </c>
      <c r="N199">
        <v>0.9912</v>
      </c>
      <c r="O199">
        <v>1</v>
      </c>
      <c r="P199">
        <v>0.9977678571428572</v>
      </c>
      <c r="Q199">
        <v>0.9583</v>
      </c>
      <c r="R199">
        <v>0.9</v>
      </c>
      <c r="S199">
        <v>0.9038</v>
      </c>
      <c r="U199" t="str" xml:space="preserve">
        <v xml:space="preserve">- Chiller No. 2 Terminal 2 Kerusakan pada  control modul _x000d_
- Chiller No. 4 Terminal 2 proses perbaikan_x000d_
- Kerusakan 3 unit pompa distribusi T1_x000d_
- Garbarata A5B2 kiri kerusakan PLC console desk_x000d_
- Kerusakan Salvage</v>
      </c>
      <c r="V199">
        <v>1</v>
      </c>
      <c r="W199">
        <v>1</v>
      </c>
      <c r="X199">
        <v>1</v>
      </c>
      <c r="Y199">
        <v>0.667</v>
      </c>
      <c r="Z199">
        <v>0.989</v>
      </c>
      <c r="AA199">
        <v>1</v>
      </c>
      <c r="AB199">
        <v>0.975</v>
      </c>
      <c r="AC199">
        <v>0.92</v>
      </c>
      <c r="AD199">
        <v>1</v>
      </c>
      <c r="AE199">
        <v>0.996</v>
      </c>
      <c r="AF199">
        <v>0.994</v>
      </c>
      <c r="AG199">
        <v>1</v>
      </c>
      <c r="AH19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0" xml:space="preserve">
      <c r="A200">
        <v>46007</v>
      </c>
      <c r="B200" t="str">
        <v>Region 4</v>
      </c>
      <c r="C200" t="str">
        <v>Juanda Airport Surabaya</v>
      </c>
      <c r="D200" t="str">
        <v>SUB</v>
      </c>
      <c r="E200">
        <v>0.9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0.958</v>
      </c>
      <c r="M200">
        <v>0.9768</v>
      </c>
      <c r="N200">
        <v>0.9912</v>
      </c>
      <c r="O200">
        <v>1</v>
      </c>
      <c r="P200">
        <v>1</v>
      </c>
      <c r="Q200">
        <v>0.9583</v>
      </c>
      <c r="R200">
        <v>0.9</v>
      </c>
      <c r="S200">
        <v>0.9038</v>
      </c>
      <c r="U20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0">
        <v>1</v>
      </c>
      <c r="W200">
        <v>1</v>
      </c>
      <c r="X200">
        <v>1</v>
      </c>
      <c r="Y200">
        <v>0.667</v>
      </c>
      <c r="Z200">
        <v>0.989</v>
      </c>
      <c r="AA200">
        <v>1</v>
      </c>
      <c r="AB200">
        <v>0.975</v>
      </c>
      <c r="AC200">
        <v>0.92</v>
      </c>
      <c r="AD200">
        <v>1</v>
      </c>
      <c r="AE200">
        <v>0.996</v>
      </c>
      <c r="AF200">
        <v>0.994</v>
      </c>
      <c r="AG200">
        <v>1</v>
      </c>
      <c r="AH20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1" xml:space="preserve">
      <c r="A201">
        <v>46008</v>
      </c>
      <c r="B201" t="str">
        <v>Region 4</v>
      </c>
      <c r="C201" t="str">
        <v>Juanda Airport Surabaya</v>
      </c>
      <c r="D201" t="str">
        <v>SUB</v>
      </c>
      <c r="E201">
        <v>0.9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0.958</v>
      </c>
      <c r="M201">
        <v>0.9768</v>
      </c>
      <c r="N201">
        <v>0.9912</v>
      </c>
      <c r="O201">
        <v>1</v>
      </c>
      <c r="P201">
        <v>1</v>
      </c>
      <c r="Q201">
        <v>0.9583</v>
      </c>
      <c r="R201">
        <v>0.9</v>
      </c>
      <c r="S201">
        <v>0.9038</v>
      </c>
      <c r="U20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1">
        <v>1</v>
      </c>
      <c r="W201">
        <v>1</v>
      </c>
      <c r="X201">
        <v>1</v>
      </c>
      <c r="Y201">
        <v>0.667000000000001</v>
      </c>
      <c r="Z201">
        <v>0.989</v>
      </c>
      <c r="AA201">
        <v>1</v>
      </c>
      <c r="AB201">
        <v>0.975</v>
      </c>
      <c r="AC201">
        <v>0.92</v>
      </c>
      <c r="AD201">
        <v>1</v>
      </c>
      <c r="AE201">
        <v>0.996</v>
      </c>
      <c r="AF201">
        <v>0.994</v>
      </c>
      <c r="AG201">
        <v>1</v>
      </c>
      <c r="AH20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2" xml:space="preserve">
      <c r="A202">
        <v>46009</v>
      </c>
      <c r="B202" t="str">
        <v>Region 4</v>
      </c>
      <c r="C202" t="str">
        <v>Juanda Airport Surabaya</v>
      </c>
      <c r="D202" t="str">
        <v>SUB</v>
      </c>
      <c r="E202">
        <v>0.9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0.958</v>
      </c>
      <c r="M202">
        <v>0.9768</v>
      </c>
      <c r="N202">
        <v>0.9912</v>
      </c>
      <c r="O202">
        <v>1</v>
      </c>
      <c r="P202">
        <v>1</v>
      </c>
      <c r="Q202">
        <v>0.9583</v>
      </c>
      <c r="R202">
        <v>0.9</v>
      </c>
      <c r="S202">
        <v>0.9038</v>
      </c>
      <c r="U20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2">
        <v>1</v>
      </c>
      <c r="W202">
        <v>1</v>
      </c>
      <c r="X202">
        <v>1</v>
      </c>
      <c r="Y202">
        <v>0.667000000000001</v>
      </c>
      <c r="Z202">
        <v>0.989</v>
      </c>
      <c r="AA202">
        <v>1</v>
      </c>
      <c r="AB202">
        <v>0.975</v>
      </c>
      <c r="AC202">
        <v>0.92</v>
      </c>
      <c r="AD202">
        <v>1</v>
      </c>
      <c r="AE202">
        <v>0.996</v>
      </c>
      <c r="AF202">
        <v>0.994</v>
      </c>
      <c r="AG202">
        <v>1</v>
      </c>
      <c r="AH20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3" xml:space="preserve">
      <c r="A203">
        <v>46010</v>
      </c>
      <c r="B203" t="str">
        <v>Region 4</v>
      </c>
      <c r="C203" t="str">
        <v>Juanda Airport Surabaya</v>
      </c>
      <c r="D203" t="str">
        <v>SUB</v>
      </c>
      <c r="E203">
        <v>0.9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0.958</v>
      </c>
      <c r="M203">
        <v>0.9768</v>
      </c>
      <c r="N203">
        <v>0.9912</v>
      </c>
      <c r="O203">
        <v>1</v>
      </c>
      <c r="P203">
        <v>1</v>
      </c>
      <c r="Q203">
        <v>0.9583</v>
      </c>
      <c r="R203">
        <v>0.9</v>
      </c>
      <c r="S203">
        <v>0.9038</v>
      </c>
      <c r="U20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3">
        <v>1</v>
      </c>
      <c r="W203">
        <v>1</v>
      </c>
      <c r="X203">
        <v>1</v>
      </c>
      <c r="Y203">
        <v>0.667000000000001</v>
      </c>
      <c r="Z203">
        <v>0.989</v>
      </c>
      <c r="AA203">
        <v>1</v>
      </c>
      <c r="AB203">
        <v>0.975</v>
      </c>
      <c r="AC203">
        <v>0.92</v>
      </c>
      <c r="AD203">
        <v>1</v>
      </c>
      <c r="AE203">
        <v>0.996</v>
      </c>
      <c r="AF203">
        <v>0.994</v>
      </c>
      <c r="AG203">
        <v>1</v>
      </c>
      <c r="AH20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4" xml:space="preserve">
      <c r="A204">
        <v>46011</v>
      </c>
      <c r="B204" t="str">
        <v>Region 4</v>
      </c>
      <c r="C204" t="str">
        <v>Juanda Airport Surabaya</v>
      </c>
      <c r="D204" t="str">
        <v>SUB</v>
      </c>
      <c r="E204">
        <v>0.9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0.958</v>
      </c>
      <c r="M204">
        <v>0.9768</v>
      </c>
      <c r="N204">
        <v>0.9912</v>
      </c>
      <c r="O204">
        <v>1</v>
      </c>
      <c r="P204">
        <v>1</v>
      </c>
      <c r="Q204">
        <v>0.9583</v>
      </c>
      <c r="R204">
        <v>0.9</v>
      </c>
      <c r="S204">
        <v>0.9038</v>
      </c>
      <c r="U20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4">
        <v>1</v>
      </c>
      <c r="W204">
        <v>1</v>
      </c>
      <c r="X204">
        <v>1</v>
      </c>
      <c r="Y204">
        <v>0.667000000000001</v>
      </c>
      <c r="Z204">
        <v>0.989</v>
      </c>
      <c r="AA204">
        <v>1</v>
      </c>
      <c r="AB204">
        <v>0.975</v>
      </c>
      <c r="AC204">
        <v>0.92</v>
      </c>
      <c r="AD204">
        <v>1</v>
      </c>
      <c r="AE204">
        <v>0.996</v>
      </c>
      <c r="AF204">
        <v>0.994</v>
      </c>
      <c r="AG204">
        <v>1</v>
      </c>
      <c r="AH20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5" xml:space="preserve">
      <c r="A205">
        <v>46012</v>
      </c>
      <c r="B205" t="str">
        <v>Region 4</v>
      </c>
      <c r="C205" t="str">
        <v>Juanda Airport Surabaya</v>
      </c>
      <c r="D205" t="str">
        <v>SUB</v>
      </c>
      <c r="E205">
        <v>0.899999999999999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0.958</v>
      </c>
      <c r="M205">
        <v>0.9646</v>
      </c>
      <c r="N205">
        <v>0.9912</v>
      </c>
      <c r="O205">
        <v>1</v>
      </c>
      <c r="P205">
        <v>0.9977678571428572</v>
      </c>
      <c r="Q205">
        <v>0.9583</v>
      </c>
      <c r="R205">
        <v>0.9</v>
      </c>
      <c r="S205">
        <v>0.9038</v>
      </c>
      <c r="U20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5">
        <v>1</v>
      </c>
      <c r="W205">
        <v>1</v>
      </c>
      <c r="X205">
        <v>1</v>
      </c>
      <c r="Y205">
        <v>0.667000000000001</v>
      </c>
      <c r="Z205">
        <v>0.989</v>
      </c>
      <c r="AA205">
        <v>1</v>
      </c>
      <c r="AB205">
        <v>0.975</v>
      </c>
      <c r="AC205">
        <v>0.92</v>
      </c>
      <c r="AD205">
        <v>1</v>
      </c>
      <c r="AE205">
        <v>0.996</v>
      </c>
      <c r="AF205">
        <v>0.994</v>
      </c>
      <c r="AG205">
        <v>1</v>
      </c>
      <c r="AH20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6" xml:space="preserve">
      <c r="A206">
        <v>46013</v>
      </c>
      <c r="B206" t="str">
        <v>Region 4</v>
      </c>
      <c r="C206" t="str">
        <v>Juanda Airport Surabaya</v>
      </c>
      <c r="D206" t="str">
        <v>SUB</v>
      </c>
      <c r="E206">
        <v>0.899999999999999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0.958</v>
      </c>
      <c r="M206">
        <v>0.9646</v>
      </c>
      <c r="N206">
        <v>0.9912</v>
      </c>
      <c r="O206">
        <v>1</v>
      </c>
      <c r="P206">
        <v>0.9977678571428572</v>
      </c>
      <c r="Q206">
        <v>0.9583</v>
      </c>
      <c r="R206">
        <v>0.9</v>
      </c>
      <c r="S206">
        <v>0.9038</v>
      </c>
      <c r="U20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6">
        <v>1</v>
      </c>
      <c r="W206">
        <v>1</v>
      </c>
      <c r="X206">
        <v>1</v>
      </c>
      <c r="Y206">
        <v>0.667000000000001</v>
      </c>
      <c r="Z206">
        <v>0.989</v>
      </c>
      <c r="AA206">
        <v>1</v>
      </c>
      <c r="AB206">
        <v>0.975</v>
      </c>
      <c r="AC206">
        <v>0.92</v>
      </c>
      <c r="AD206">
        <v>1</v>
      </c>
      <c r="AE206">
        <v>0.996</v>
      </c>
      <c r="AF206">
        <v>0.994</v>
      </c>
      <c r="AG206">
        <v>1</v>
      </c>
      <c r="AH20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7" xml:space="preserve">
      <c r="A207">
        <v>46014</v>
      </c>
      <c r="B207" t="str">
        <v>Region 4</v>
      </c>
      <c r="C207" t="str">
        <v>Juanda Airport Surabaya</v>
      </c>
      <c r="D207" t="str">
        <v>SUB</v>
      </c>
      <c r="E207">
        <v>0.899999999999999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0.958</v>
      </c>
      <c r="M207">
        <v>0.9646</v>
      </c>
      <c r="N207">
        <v>0.9912</v>
      </c>
      <c r="O207">
        <v>1</v>
      </c>
      <c r="P207">
        <v>0.9977678571428572</v>
      </c>
      <c r="Q207">
        <v>0.9583</v>
      </c>
      <c r="R207">
        <v>0.9</v>
      </c>
      <c r="S207">
        <v>0.9038</v>
      </c>
      <c r="U20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7">
        <v>1</v>
      </c>
      <c r="W207">
        <v>1</v>
      </c>
      <c r="X207">
        <v>1</v>
      </c>
      <c r="Y207">
        <v>0.667000000000001</v>
      </c>
      <c r="Z207">
        <v>0.989</v>
      </c>
      <c r="AA207">
        <v>1</v>
      </c>
      <c r="AB207">
        <v>0.975</v>
      </c>
      <c r="AC207">
        <v>0.92</v>
      </c>
      <c r="AD207">
        <v>1</v>
      </c>
      <c r="AE207">
        <v>0.996</v>
      </c>
      <c r="AF207">
        <v>0.994</v>
      </c>
      <c r="AG207">
        <v>1</v>
      </c>
      <c r="AH20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8" xml:space="preserve">
      <c r="A208">
        <v>46015</v>
      </c>
      <c r="B208" t="str">
        <v>Region 4</v>
      </c>
      <c r="C208" t="str">
        <v>Juanda Airport Surabaya</v>
      </c>
      <c r="D208" t="str">
        <v>SUB</v>
      </c>
      <c r="E208">
        <v>0.899999999999999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0.958</v>
      </c>
      <c r="M208">
        <v>0.9646</v>
      </c>
      <c r="N208">
        <v>0.9912</v>
      </c>
      <c r="O208">
        <v>1</v>
      </c>
      <c r="P208">
        <v>0.9977678571428572</v>
      </c>
      <c r="Q208">
        <v>0.9583</v>
      </c>
      <c r="R208">
        <v>0.9</v>
      </c>
      <c r="S208">
        <v>0.9038</v>
      </c>
      <c r="U20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8">
        <v>1</v>
      </c>
      <c r="W208">
        <v>1</v>
      </c>
      <c r="X208">
        <v>1</v>
      </c>
      <c r="Y208">
        <v>0.667000000000001</v>
      </c>
      <c r="Z208">
        <v>0.989</v>
      </c>
      <c r="AA208">
        <v>1</v>
      </c>
      <c r="AB208">
        <v>0.975</v>
      </c>
      <c r="AC208">
        <v>0.92</v>
      </c>
      <c r="AD208">
        <v>1</v>
      </c>
      <c r="AE208">
        <v>0.996</v>
      </c>
      <c r="AF208">
        <v>0.994</v>
      </c>
      <c r="AG208">
        <v>1</v>
      </c>
      <c r="AH20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09" xml:space="preserve">
      <c r="A209">
        <v>46016</v>
      </c>
      <c r="B209" t="str">
        <v>Region 4</v>
      </c>
      <c r="C209" t="str">
        <v>Juanda Airport Surabaya</v>
      </c>
      <c r="D209" t="str">
        <v>SUB</v>
      </c>
      <c r="E209">
        <v>0.899999999999999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0.958</v>
      </c>
      <c r="M209">
        <v>0.9768</v>
      </c>
      <c r="N209">
        <v>0.9912</v>
      </c>
      <c r="O209">
        <v>1</v>
      </c>
      <c r="P209">
        <v>1</v>
      </c>
      <c r="Q209">
        <v>0.9583</v>
      </c>
      <c r="R209">
        <v>0.9</v>
      </c>
      <c r="S209">
        <v>0.9038</v>
      </c>
      <c r="U20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09">
        <v>1</v>
      </c>
      <c r="W209">
        <v>1</v>
      </c>
      <c r="X209">
        <v>1</v>
      </c>
      <c r="Y209">
        <v>0.667000000000001</v>
      </c>
      <c r="Z209">
        <v>0.989</v>
      </c>
      <c r="AA209">
        <v>1</v>
      </c>
      <c r="AB209">
        <v>0.975</v>
      </c>
      <c r="AC209">
        <v>0.92</v>
      </c>
      <c r="AD209">
        <v>1</v>
      </c>
      <c r="AE209">
        <v>0.996</v>
      </c>
      <c r="AF209">
        <v>0.994</v>
      </c>
      <c r="AG209">
        <v>1</v>
      </c>
      <c r="AH20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10" xml:space="preserve">
      <c r="A210">
        <v>46017</v>
      </c>
      <c r="B210" t="str">
        <v>Region 4</v>
      </c>
      <c r="C210" t="str">
        <v>Juanda Airport Surabaya</v>
      </c>
      <c r="D210" t="str">
        <v>SUB</v>
      </c>
      <c r="E210">
        <v>0.899999999999999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0.958</v>
      </c>
      <c r="M210">
        <v>0.9768</v>
      </c>
      <c r="N210">
        <v>0.9912</v>
      </c>
      <c r="O210">
        <v>1</v>
      </c>
      <c r="P210">
        <v>1</v>
      </c>
      <c r="Q210">
        <v>0.9583</v>
      </c>
      <c r="R210">
        <v>0.9</v>
      </c>
      <c r="S210">
        <v>0.9038</v>
      </c>
      <c r="U21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0">
        <v>1</v>
      </c>
      <c r="W210">
        <v>1</v>
      </c>
      <c r="X210">
        <v>1</v>
      </c>
      <c r="Y210">
        <v>0.667000000000001</v>
      </c>
      <c r="Z210">
        <v>0.989</v>
      </c>
      <c r="AA210">
        <v>1</v>
      </c>
      <c r="AB210">
        <v>0.975</v>
      </c>
      <c r="AC210">
        <v>0.92</v>
      </c>
      <c r="AD210">
        <v>1</v>
      </c>
      <c r="AE210">
        <v>0.996</v>
      </c>
      <c r="AF210">
        <v>0.994</v>
      </c>
      <c r="AG210">
        <v>1</v>
      </c>
      <c r="AH21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11" xml:space="preserve">
      <c r="A211">
        <v>46018</v>
      </c>
      <c r="B211" t="str">
        <v>Region 4</v>
      </c>
      <c r="C211" t="str">
        <v>Juanda Airport Surabaya</v>
      </c>
      <c r="D211" t="str">
        <v>SUB</v>
      </c>
      <c r="E211">
        <v>0.899999999999999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0.958</v>
      </c>
      <c r="M211">
        <v>0.9768</v>
      </c>
      <c r="N211">
        <v>0.9912</v>
      </c>
      <c r="O211">
        <v>1</v>
      </c>
      <c r="P211">
        <v>1</v>
      </c>
      <c r="Q211">
        <v>0.9583</v>
      </c>
      <c r="R211">
        <v>0.9</v>
      </c>
      <c r="S211">
        <v>0.9038</v>
      </c>
      <c r="U21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1">
        <v>1</v>
      </c>
      <c r="W211">
        <v>1</v>
      </c>
      <c r="X211">
        <v>1</v>
      </c>
      <c r="Y211">
        <v>0.667000000000001</v>
      </c>
      <c r="Z211">
        <v>0.989</v>
      </c>
      <c r="AA211">
        <v>1</v>
      </c>
      <c r="AB211">
        <v>0.975</v>
      </c>
      <c r="AC211">
        <v>0.92</v>
      </c>
      <c r="AD211">
        <v>1</v>
      </c>
      <c r="AE211">
        <v>0.996</v>
      </c>
      <c r="AF211">
        <v>0.994</v>
      </c>
      <c r="AG211">
        <v>1</v>
      </c>
      <c r="AH21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12" xml:space="preserve">
      <c r="A212">
        <v>46019</v>
      </c>
      <c r="B212" t="str">
        <v>Region 4</v>
      </c>
      <c r="C212" t="str">
        <v>Juanda Airport Surabaya</v>
      </c>
      <c r="D212" t="str">
        <v>SUB</v>
      </c>
      <c r="E212">
        <v>0.899999999999999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0.958</v>
      </c>
      <c r="M212">
        <v>0.9768</v>
      </c>
      <c r="N212">
        <v>0.9912</v>
      </c>
      <c r="O212">
        <v>1</v>
      </c>
      <c r="P212">
        <v>1</v>
      </c>
      <c r="Q212">
        <v>0.9583</v>
      </c>
      <c r="R212">
        <v>0.9</v>
      </c>
      <c r="S212">
        <v>0.9038</v>
      </c>
      <c r="U21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2">
        <v>1</v>
      </c>
      <c r="W212">
        <v>1</v>
      </c>
      <c r="X212">
        <v>1</v>
      </c>
      <c r="Y212">
        <v>0.667000000000001</v>
      </c>
      <c r="Z212">
        <v>0.989</v>
      </c>
      <c r="AA212">
        <v>1</v>
      </c>
      <c r="AB212">
        <v>0.975</v>
      </c>
      <c r="AC212">
        <v>0.92</v>
      </c>
      <c r="AD212">
        <v>1</v>
      </c>
      <c r="AE212">
        <v>0.996</v>
      </c>
      <c r="AF212">
        <v>0.994</v>
      </c>
      <c r="AG212">
        <v>1</v>
      </c>
      <c r="AH21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13" xml:space="preserve">
      <c r="A213">
        <v>46020</v>
      </c>
      <c r="B213" t="str">
        <v>Region 4</v>
      </c>
      <c r="C213" t="str">
        <v>Juanda Airport Surabaya</v>
      </c>
      <c r="D213" t="str">
        <v>SUB</v>
      </c>
      <c r="E213">
        <v>0.899999999999999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0.958</v>
      </c>
      <c r="M213">
        <v>0.9768</v>
      </c>
      <c r="N213">
        <v>0.9912</v>
      </c>
      <c r="O213">
        <v>1</v>
      </c>
      <c r="P213">
        <v>1</v>
      </c>
      <c r="Q213">
        <v>0.9583</v>
      </c>
      <c r="R213">
        <v>0.9</v>
      </c>
      <c r="S213">
        <v>0.9038</v>
      </c>
      <c r="U21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3">
        <v>1</v>
      </c>
      <c r="W213">
        <v>1</v>
      </c>
      <c r="X213">
        <v>1</v>
      </c>
      <c r="Y213">
        <v>0.667000000000001</v>
      </c>
      <c r="Z213">
        <v>0.989</v>
      </c>
      <c r="AA213">
        <v>1</v>
      </c>
      <c r="AB213">
        <v>0.975</v>
      </c>
      <c r="AC213">
        <v>0.92</v>
      </c>
      <c r="AD213">
        <v>1</v>
      </c>
      <c r="AE213">
        <v>0.996</v>
      </c>
      <c r="AF213">
        <v>0.994</v>
      </c>
      <c r="AG213">
        <v>1</v>
      </c>
      <c r="AH21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14" xml:space="preserve">
      <c r="A214">
        <v>46021</v>
      </c>
      <c r="B214" t="str">
        <v>Region 4</v>
      </c>
      <c r="C214" t="str">
        <v>Juanda Airport Surabaya</v>
      </c>
      <c r="D214" t="str">
        <v>SUB</v>
      </c>
      <c r="E214">
        <v>0.899999999999999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0.958</v>
      </c>
      <c r="M214">
        <v>0.9768</v>
      </c>
      <c r="N214">
        <v>0.9912</v>
      </c>
      <c r="O214">
        <v>1</v>
      </c>
      <c r="P214">
        <v>1</v>
      </c>
      <c r="Q214">
        <v>0.9583</v>
      </c>
      <c r="R214">
        <v>0.9</v>
      </c>
      <c r="S214">
        <v>0.9038</v>
      </c>
      <c r="U21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4">
        <v>1</v>
      </c>
      <c r="W214">
        <v>1</v>
      </c>
      <c r="X214">
        <v>1</v>
      </c>
      <c r="Y214">
        <v>0.667000000000001</v>
      </c>
      <c r="Z214">
        <v>0.989</v>
      </c>
      <c r="AA214">
        <v>1</v>
      </c>
      <c r="AB214">
        <v>0.975</v>
      </c>
      <c r="AC214">
        <v>0.92</v>
      </c>
      <c r="AD214">
        <v>1</v>
      </c>
      <c r="AE214">
        <v>0.996</v>
      </c>
      <c r="AF214">
        <v>0.994</v>
      </c>
      <c r="AG214">
        <v>1</v>
      </c>
      <c r="AH21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Ada beberapa digital clock yang dilepas karena terdampak pekerjaan revitalisasi. akan dilakukan kordinasi dengan operasi untuk penempatan baru._x000d_
4. Dari 3 ETD yang dimiliki ada 1 unit yang rusak (1 unit tipe mobile trace (pengadaan tahun 2017) rencana akan diusulkan hapus aset . Dan di tahun 2025/2026 ada investasi pengadaan ETD sebanyak 3 unit._x000d_
5.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6. Terjadi kerusakan 1 jalur flap barrier T2 karena terdapat dioda yg terbakar pd board mesin flap.</v>
      </c>
    </row>
    <row r="215" xml:space="preserve">
      <c r="A215">
        <v>46022</v>
      </c>
      <c r="B215" t="str">
        <v>Region 4</v>
      </c>
      <c r="C215" t="str">
        <v>Juanda Airport Surabaya</v>
      </c>
      <c r="D215" t="str">
        <v>SUB</v>
      </c>
      <c r="E215">
        <v>0.899999999999999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0.96</v>
      </c>
      <c r="M215">
        <v>0.9768</v>
      </c>
      <c r="N215">
        <v>0.9912</v>
      </c>
      <c r="O215">
        <v>1</v>
      </c>
      <c r="P215">
        <v>1</v>
      </c>
      <c r="Q215">
        <v>0.9583</v>
      </c>
      <c r="R215">
        <v>0.9</v>
      </c>
      <c r="S215">
        <v>0.9038</v>
      </c>
      <c r="U21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5">
        <v>1</v>
      </c>
      <c r="W215">
        <v>1</v>
      </c>
      <c r="X215">
        <v>1</v>
      </c>
      <c r="Y215">
        <v>0.667000000000001</v>
      </c>
      <c r="Z215">
        <v>0.99</v>
      </c>
      <c r="AA215">
        <v>1</v>
      </c>
      <c r="AB215">
        <v>0.975</v>
      </c>
      <c r="AC215">
        <v>0.92</v>
      </c>
      <c r="AD215">
        <v>1</v>
      </c>
      <c r="AE215">
        <v>1</v>
      </c>
      <c r="AF215">
        <v>0.994</v>
      </c>
      <c r="AG215">
        <v>1</v>
      </c>
      <c r="AH21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15" t="str">
        <f t="array" ref="AI215:AI422">IF(A215:A1267="",,TEXT(A215:A1267,"mmmm"))</f>
        <v>December</v>
      </c>
      <c r="AJ215" t="str">
        <f t="array" ref="AJ215:AJ422">IF(A215:A1267="",,TEXT(A215:A1267,"yyyy"))</f>
        <v>2025</v>
      </c>
    </row>
    <row r="216" xml:space="preserve">
      <c r="A216">
        <v>46023</v>
      </c>
      <c r="B216" t="str">
        <v>Region 4</v>
      </c>
      <c r="C216" t="str">
        <v>Juanda Airport Surabaya</v>
      </c>
      <c r="D216" t="str">
        <v>SUB</v>
      </c>
      <c r="E216">
        <v>0.899999999999999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0.96</v>
      </c>
      <c r="M216">
        <v>0.9768</v>
      </c>
      <c r="N216">
        <v>0.9912</v>
      </c>
      <c r="O216">
        <v>1</v>
      </c>
      <c r="P216">
        <v>1</v>
      </c>
      <c r="Q216">
        <v>0.9583</v>
      </c>
      <c r="R216">
        <v>0.9</v>
      </c>
      <c r="S216">
        <v>0.9038</v>
      </c>
      <c r="U21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6">
        <v>1</v>
      </c>
      <c r="W216">
        <v>1</v>
      </c>
      <c r="X216">
        <v>1</v>
      </c>
      <c r="Y216">
        <v>0.667000000000001</v>
      </c>
      <c r="Z216">
        <v>0.99</v>
      </c>
      <c r="AA216">
        <v>1</v>
      </c>
      <c r="AB216">
        <v>0.975</v>
      </c>
      <c r="AC216">
        <v>0.92</v>
      </c>
      <c r="AD216">
        <v>1</v>
      </c>
      <c r="AE216">
        <v>1</v>
      </c>
      <c r="AF216">
        <v>0.994</v>
      </c>
      <c r="AG216">
        <v>1</v>
      </c>
      <c r="AH21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16" t="str">
        <v>January</v>
      </c>
      <c r="AJ216" t="str">
        <v>2026</v>
      </c>
    </row>
    <row r="217" xml:space="preserve">
      <c r="A217">
        <v>46024</v>
      </c>
      <c r="B217" t="str">
        <v>Region 4</v>
      </c>
      <c r="C217" t="str">
        <v>Juanda Airport Surabaya</v>
      </c>
      <c r="D217" t="str">
        <v>SUB</v>
      </c>
      <c r="E217">
        <v>0.899999999999999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0.96</v>
      </c>
      <c r="M217">
        <v>0.9768</v>
      </c>
      <c r="N217">
        <v>0.9912</v>
      </c>
      <c r="O217">
        <v>1</v>
      </c>
      <c r="P217">
        <v>1</v>
      </c>
      <c r="Q217">
        <v>0.9583</v>
      </c>
      <c r="R217">
        <v>0.9</v>
      </c>
      <c r="S217">
        <v>0.9038</v>
      </c>
      <c r="U21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7">
        <v>1</v>
      </c>
      <c r="W217">
        <v>1</v>
      </c>
      <c r="X217">
        <v>1</v>
      </c>
      <c r="Y217">
        <v>0.667000000000001</v>
      </c>
      <c r="Z217">
        <v>0.99</v>
      </c>
      <c r="AA217">
        <v>1</v>
      </c>
      <c r="AB217">
        <v>0.975</v>
      </c>
      <c r="AC217">
        <v>0.92</v>
      </c>
      <c r="AD217">
        <v>1</v>
      </c>
      <c r="AE217">
        <v>1</v>
      </c>
      <c r="AF217">
        <v>0.994</v>
      </c>
      <c r="AG217">
        <v>1</v>
      </c>
      <c r="AH21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17" t="str">
        <v>January</v>
      </c>
      <c r="AJ217" t="str">
        <v>2026</v>
      </c>
    </row>
    <row r="218" xml:space="preserve">
      <c r="A218">
        <v>46025</v>
      </c>
      <c r="B218" t="str">
        <v>Region 4</v>
      </c>
      <c r="C218" t="str">
        <v>Juanda Airport Surabaya</v>
      </c>
      <c r="D218" t="str">
        <v>SUB</v>
      </c>
      <c r="E218">
        <v>0.899999999999999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0.96</v>
      </c>
      <c r="M218">
        <v>0.9768</v>
      </c>
      <c r="N218">
        <v>0.9912</v>
      </c>
      <c r="O218">
        <v>1</v>
      </c>
      <c r="P218">
        <v>1</v>
      </c>
      <c r="Q218">
        <v>0.9583</v>
      </c>
      <c r="R218">
        <v>0.9</v>
      </c>
      <c r="S218">
        <v>0.9038</v>
      </c>
      <c r="U21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8">
        <v>1</v>
      </c>
      <c r="W218">
        <v>1</v>
      </c>
      <c r="X218">
        <v>1</v>
      </c>
      <c r="Y218">
        <v>0.667000000000001</v>
      </c>
      <c r="Z218">
        <v>0.99</v>
      </c>
      <c r="AA218">
        <v>1</v>
      </c>
      <c r="AB218">
        <v>0.975</v>
      </c>
      <c r="AC218">
        <v>0.92</v>
      </c>
      <c r="AD218">
        <v>1</v>
      </c>
      <c r="AE218">
        <v>1</v>
      </c>
      <c r="AF218">
        <v>0.994</v>
      </c>
      <c r="AG218">
        <v>1</v>
      </c>
      <c r="AH21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18" t="str">
        <v>January</v>
      </c>
      <c r="AJ218" t="str">
        <v>2026</v>
      </c>
    </row>
    <row r="219" xml:space="preserve">
      <c r="A219">
        <v>46026</v>
      </c>
      <c r="B219" t="str">
        <v>Region 4</v>
      </c>
      <c r="C219" t="str">
        <v>Juanda Airport Surabaya</v>
      </c>
      <c r="D219" t="str">
        <v>SUB</v>
      </c>
      <c r="E219">
        <v>0.899999999999999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0.96</v>
      </c>
      <c r="M219">
        <v>0.9768</v>
      </c>
      <c r="N219">
        <v>0.9912</v>
      </c>
      <c r="O219">
        <v>1</v>
      </c>
      <c r="P219">
        <v>1</v>
      </c>
      <c r="Q219">
        <v>0.9583</v>
      </c>
      <c r="R219">
        <v>0.9</v>
      </c>
      <c r="S219">
        <v>0.9038</v>
      </c>
      <c r="U21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19">
        <v>1</v>
      </c>
      <c r="W219">
        <v>1</v>
      </c>
      <c r="X219">
        <v>1</v>
      </c>
      <c r="Y219">
        <v>0.667000000000001</v>
      </c>
      <c r="Z219">
        <v>0.99</v>
      </c>
      <c r="AA219">
        <v>1</v>
      </c>
      <c r="AB219">
        <v>0.975</v>
      </c>
      <c r="AC219">
        <v>0.92</v>
      </c>
      <c r="AD219">
        <v>1</v>
      </c>
      <c r="AE219">
        <v>1</v>
      </c>
      <c r="AF219">
        <v>0.994</v>
      </c>
      <c r="AG219">
        <v>1</v>
      </c>
      <c r="AH21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19" t="str">
        <v>January</v>
      </c>
      <c r="AJ219" t="str">
        <v>2026</v>
      </c>
    </row>
    <row r="220" xml:space="preserve">
      <c r="A220">
        <v>46027</v>
      </c>
      <c r="B220" t="str">
        <v>Region 4</v>
      </c>
      <c r="C220" t="str">
        <v>Juanda Airport Surabaya</v>
      </c>
      <c r="D220" t="str">
        <v>SUB</v>
      </c>
      <c r="E220">
        <v>0.899999999999999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0.96</v>
      </c>
      <c r="M220">
        <v>0.9768</v>
      </c>
      <c r="N220">
        <v>0.9912</v>
      </c>
      <c r="O220">
        <v>1</v>
      </c>
      <c r="P220">
        <v>1</v>
      </c>
      <c r="Q220">
        <v>0.9583</v>
      </c>
      <c r="R220">
        <v>0.9</v>
      </c>
      <c r="S220">
        <v>0.9038</v>
      </c>
      <c r="U22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0">
        <v>1</v>
      </c>
      <c r="W220">
        <v>1</v>
      </c>
      <c r="X220">
        <v>1</v>
      </c>
      <c r="Y220">
        <v>0.667000000000001</v>
      </c>
      <c r="Z220">
        <v>0.99</v>
      </c>
      <c r="AA220">
        <v>1</v>
      </c>
      <c r="AB220">
        <v>0.975</v>
      </c>
      <c r="AC220">
        <v>0.92</v>
      </c>
      <c r="AD220">
        <v>1</v>
      </c>
      <c r="AE220">
        <v>1</v>
      </c>
      <c r="AF220">
        <v>0.994</v>
      </c>
      <c r="AG220">
        <v>1</v>
      </c>
      <c r="AH22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0" t="str">
        <v>January</v>
      </c>
      <c r="AJ220" t="str">
        <v>2026</v>
      </c>
    </row>
    <row r="221" xml:space="preserve">
      <c r="A221">
        <v>46028</v>
      </c>
      <c r="B221" t="str">
        <v>Region 4</v>
      </c>
      <c r="C221" t="str">
        <v>Juanda Airport Surabaya</v>
      </c>
      <c r="D221" t="str">
        <v>SUB</v>
      </c>
      <c r="E221">
        <v>0.899999999999999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0.96</v>
      </c>
      <c r="M221">
        <v>0.9768</v>
      </c>
      <c r="N221">
        <v>0.9912</v>
      </c>
      <c r="O221">
        <v>1</v>
      </c>
      <c r="P221">
        <v>1</v>
      </c>
      <c r="Q221">
        <v>0.9583</v>
      </c>
      <c r="R221">
        <v>0.9</v>
      </c>
      <c r="S221">
        <v>0.9038</v>
      </c>
      <c r="U22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1">
        <v>1</v>
      </c>
      <c r="W221">
        <v>1</v>
      </c>
      <c r="X221">
        <v>1</v>
      </c>
      <c r="Y221">
        <v>0.667000000000001</v>
      </c>
      <c r="Z221">
        <v>0.99</v>
      </c>
      <c r="AA221">
        <v>1</v>
      </c>
      <c r="AB221">
        <v>0.975</v>
      </c>
      <c r="AC221">
        <v>0.92</v>
      </c>
      <c r="AD221">
        <v>1</v>
      </c>
      <c r="AE221">
        <v>1</v>
      </c>
      <c r="AF221">
        <v>0.994</v>
      </c>
      <c r="AG221">
        <v>1</v>
      </c>
      <c r="AH22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1" t="str">
        <v>January</v>
      </c>
      <c r="AJ221" t="str">
        <v>2026</v>
      </c>
    </row>
    <row r="222" xml:space="preserve">
      <c r="A222">
        <v>46029</v>
      </c>
      <c r="B222" t="str">
        <v>Region 4</v>
      </c>
      <c r="C222" t="str">
        <v>Juanda Airport Surabaya</v>
      </c>
      <c r="D222" t="str">
        <v>SUB</v>
      </c>
      <c r="E222">
        <v>0.899999999999999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0.96</v>
      </c>
      <c r="M222">
        <v>0.9768</v>
      </c>
      <c r="N222">
        <v>0.9912</v>
      </c>
      <c r="O222">
        <v>1</v>
      </c>
      <c r="P222">
        <v>1</v>
      </c>
      <c r="Q222">
        <v>0.9583</v>
      </c>
      <c r="R222">
        <v>0.9</v>
      </c>
      <c r="S222">
        <v>0.9038</v>
      </c>
      <c r="U22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2">
        <v>1</v>
      </c>
      <c r="W222">
        <v>1</v>
      </c>
      <c r="X222">
        <v>1</v>
      </c>
      <c r="Y222">
        <v>0.333000000000001</v>
      </c>
      <c r="Z222">
        <v>0.99</v>
      </c>
      <c r="AA222">
        <v>1</v>
      </c>
      <c r="AB222">
        <v>0.975</v>
      </c>
      <c r="AC222">
        <v>0.919</v>
      </c>
      <c r="AD222">
        <v>1</v>
      </c>
      <c r="AE222">
        <v>0.996</v>
      </c>
      <c r="AF222">
        <v>0.994</v>
      </c>
      <c r="AG222">
        <v>1</v>
      </c>
      <c r="AH22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2" t="str">
        <v>January</v>
      </c>
      <c r="AJ222" t="str">
        <v>2026</v>
      </c>
    </row>
    <row r="223" xml:space="preserve">
      <c r="A223">
        <v>46030</v>
      </c>
      <c r="B223" t="str">
        <v>Region 4</v>
      </c>
      <c r="C223" t="str">
        <v>Juanda Airport Surabaya</v>
      </c>
      <c r="D223" t="str">
        <v>SUB</v>
      </c>
      <c r="E223">
        <v>0.899999999999999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0.96</v>
      </c>
      <c r="M223">
        <v>0.9768</v>
      </c>
      <c r="N223">
        <v>0.9912</v>
      </c>
      <c r="O223">
        <v>1</v>
      </c>
      <c r="P223">
        <v>1</v>
      </c>
      <c r="Q223">
        <v>0.9583</v>
      </c>
      <c r="R223">
        <v>0.9</v>
      </c>
      <c r="S223">
        <v>0.9038</v>
      </c>
      <c r="U22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3">
        <v>1</v>
      </c>
      <c r="W223">
        <v>1</v>
      </c>
      <c r="X223">
        <v>1</v>
      </c>
      <c r="Y223">
        <v>0.333000000000001</v>
      </c>
      <c r="Z223">
        <v>0.99</v>
      </c>
      <c r="AA223">
        <v>1</v>
      </c>
      <c r="AB223">
        <v>0.975</v>
      </c>
      <c r="AC223">
        <v>0.919</v>
      </c>
      <c r="AD223">
        <v>1</v>
      </c>
      <c r="AE223">
        <v>0.996</v>
      </c>
      <c r="AF223">
        <v>0.994</v>
      </c>
      <c r="AG223">
        <v>1</v>
      </c>
      <c r="AH22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3" t="str">
        <v>January</v>
      </c>
      <c r="AJ223" t="str">
        <v>2026</v>
      </c>
    </row>
    <row r="224" xml:space="preserve">
      <c r="A224">
        <v>46031</v>
      </c>
      <c r="B224" t="str">
        <v>Region 4</v>
      </c>
      <c r="C224" t="str">
        <v>Juanda Airport Surabaya</v>
      </c>
      <c r="D224" t="str">
        <v>SUB</v>
      </c>
      <c r="E224">
        <v>0.899999999999999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0.96</v>
      </c>
      <c r="M224">
        <v>0.9768</v>
      </c>
      <c r="N224">
        <v>0.9912</v>
      </c>
      <c r="O224">
        <v>1</v>
      </c>
      <c r="P224">
        <v>1</v>
      </c>
      <c r="Q224">
        <v>0.9583</v>
      </c>
      <c r="R224">
        <v>0.9</v>
      </c>
      <c r="S224">
        <v>0.9038</v>
      </c>
      <c r="U22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4">
        <v>1</v>
      </c>
      <c r="W224">
        <v>1</v>
      </c>
      <c r="X224">
        <v>1</v>
      </c>
      <c r="Y224">
        <v>0.333000000000001</v>
      </c>
      <c r="Z224">
        <v>0.99</v>
      </c>
      <c r="AA224">
        <v>1</v>
      </c>
      <c r="AB224">
        <v>0.975</v>
      </c>
      <c r="AC224">
        <v>0.919</v>
      </c>
      <c r="AD224">
        <v>1</v>
      </c>
      <c r="AE224">
        <v>0.996</v>
      </c>
      <c r="AF224">
        <v>0.994</v>
      </c>
      <c r="AG224">
        <v>1</v>
      </c>
      <c r="AH22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4" t="str">
        <v>January</v>
      </c>
      <c r="AJ224" t="str">
        <v>2026</v>
      </c>
    </row>
    <row r="225" xml:space="preserve">
      <c r="A225">
        <v>46032</v>
      </c>
      <c r="B225" t="str">
        <v>Region 4</v>
      </c>
      <c r="C225" t="str">
        <v>Juanda Airport Surabaya</v>
      </c>
      <c r="D225" t="str">
        <v>SUB</v>
      </c>
      <c r="E225">
        <v>0.899999999999999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0.96</v>
      </c>
      <c r="M225">
        <v>0.9768</v>
      </c>
      <c r="N225">
        <v>0.9912</v>
      </c>
      <c r="O225">
        <v>1</v>
      </c>
      <c r="P225">
        <v>1</v>
      </c>
      <c r="Q225">
        <v>0.9583</v>
      </c>
      <c r="R225">
        <v>0.9</v>
      </c>
      <c r="S225">
        <v>0.9038</v>
      </c>
      <c r="U22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5">
        <v>1</v>
      </c>
      <c r="W225">
        <v>1</v>
      </c>
      <c r="X225">
        <v>1</v>
      </c>
      <c r="Y225">
        <v>0.333000000000001</v>
      </c>
      <c r="Z225">
        <v>0.99</v>
      </c>
      <c r="AA225">
        <v>1</v>
      </c>
      <c r="AB225">
        <v>0.975</v>
      </c>
      <c r="AC225">
        <v>0.919</v>
      </c>
      <c r="AD225">
        <v>1</v>
      </c>
      <c r="AE225">
        <v>0.996</v>
      </c>
      <c r="AF225">
        <v>0.994</v>
      </c>
      <c r="AG225">
        <v>1</v>
      </c>
      <c r="AH22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5" t="str">
        <v>January</v>
      </c>
      <c r="AJ225" t="str">
        <v>2026</v>
      </c>
    </row>
    <row r="226" xml:space="preserve">
      <c r="A226">
        <v>46033</v>
      </c>
      <c r="B226" t="str">
        <v>Region 4</v>
      </c>
      <c r="C226" t="str">
        <v>Juanda Airport Surabaya</v>
      </c>
      <c r="D226" t="str">
        <v>SUB</v>
      </c>
      <c r="E226">
        <v>0.899999999999999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0.96</v>
      </c>
      <c r="M226">
        <v>0.9768</v>
      </c>
      <c r="N226">
        <v>0.9912</v>
      </c>
      <c r="O226">
        <v>1</v>
      </c>
      <c r="P226">
        <v>1</v>
      </c>
      <c r="Q226">
        <v>0.9583</v>
      </c>
      <c r="R226">
        <v>0.9</v>
      </c>
      <c r="S226">
        <v>0.9038</v>
      </c>
      <c r="U22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6">
        <v>1</v>
      </c>
      <c r="W226">
        <v>1</v>
      </c>
      <c r="X226">
        <v>1</v>
      </c>
      <c r="Y226">
        <v>0.333000000000001</v>
      </c>
      <c r="Z226">
        <v>0.99</v>
      </c>
      <c r="AA226">
        <v>1</v>
      </c>
      <c r="AB226">
        <v>0.975</v>
      </c>
      <c r="AC226">
        <v>0.919</v>
      </c>
      <c r="AD226">
        <v>1</v>
      </c>
      <c r="AE226">
        <v>0.996</v>
      </c>
      <c r="AF226">
        <v>0.994</v>
      </c>
      <c r="AG226">
        <v>1</v>
      </c>
      <c r="AH22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6" t="str">
        <v>January</v>
      </c>
      <c r="AJ226" t="str">
        <v>2026</v>
      </c>
    </row>
    <row r="227" xml:space="preserve">
      <c r="A227">
        <v>46034</v>
      </c>
      <c r="B227" t="str">
        <v>Region 4</v>
      </c>
      <c r="C227" t="str">
        <v>Juanda Airport Surabaya</v>
      </c>
      <c r="D227" t="str">
        <v>SUB</v>
      </c>
      <c r="E227">
        <v>0.899999999999999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0.96</v>
      </c>
      <c r="M227">
        <v>0.9768</v>
      </c>
      <c r="N227">
        <v>0.9912</v>
      </c>
      <c r="O227">
        <v>1</v>
      </c>
      <c r="P227">
        <v>1</v>
      </c>
      <c r="Q227">
        <v>0.9583</v>
      </c>
      <c r="R227">
        <v>0.9</v>
      </c>
      <c r="S227">
        <v>0.9038</v>
      </c>
      <c r="U22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7">
        <v>1</v>
      </c>
      <c r="W227">
        <v>1</v>
      </c>
      <c r="X227">
        <v>1</v>
      </c>
      <c r="Y227">
        <v>0.333000000000001</v>
      </c>
      <c r="Z227">
        <v>0.99</v>
      </c>
      <c r="AA227">
        <v>1</v>
      </c>
      <c r="AB227">
        <v>0.975</v>
      </c>
      <c r="AC227">
        <v>0.919</v>
      </c>
      <c r="AD227">
        <v>1</v>
      </c>
      <c r="AE227">
        <v>0.996</v>
      </c>
      <c r="AF227">
        <v>0.994</v>
      </c>
      <c r="AG227">
        <v>1</v>
      </c>
      <c r="AH22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7" t="str">
        <v>January</v>
      </c>
      <c r="AJ227" t="str">
        <v>2026</v>
      </c>
    </row>
    <row r="228" xml:space="preserve">
      <c r="A228">
        <v>46035</v>
      </c>
      <c r="B228" t="str">
        <v>Region 4</v>
      </c>
      <c r="C228" t="str">
        <v>Juanda Airport Surabaya</v>
      </c>
      <c r="D228" t="str">
        <v>SUB</v>
      </c>
      <c r="E228">
        <v>0.899999999999999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0.96</v>
      </c>
      <c r="M228">
        <v>0.9768</v>
      </c>
      <c r="N228">
        <v>0.9912</v>
      </c>
      <c r="O228">
        <v>1</v>
      </c>
      <c r="P228">
        <v>1</v>
      </c>
      <c r="Q228">
        <v>0.9583</v>
      </c>
      <c r="R228">
        <v>0.9</v>
      </c>
      <c r="S228">
        <v>0.9038</v>
      </c>
      <c r="U22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8">
        <v>1</v>
      </c>
      <c r="W228">
        <v>1</v>
      </c>
      <c r="X228">
        <v>1</v>
      </c>
      <c r="Y228">
        <v>0.333000000000001</v>
      </c>
      <c r="Z228">
        <v>0.99</v>
      </c>
      <c r="AA228">
        <v>1</v>
      </c>
      <c r="AB228">
        <v>0.975</v>
      </c>
      <c r="AC228">
        <v>0.919</v>
      </c>
      <c r="AD228">
        <v>1</v>
      </c>
      <c r="AE228">
        <v>0.996</v>
      </c>
      <c r="AF228">
        <v>0.994</v>
      </c>
      <c r="AG228">
        <v>1</v>
      </c>
      <c r="AH22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8" t="str">
        <v>January</v>
      </c>
      <c r="AJ228" t="str">
        <v>2026</v>
      </c>
    </row>
    <row r="229" xml:space="preserve">
      <c r="A229">
        <v>46036</v>
      </c>
      <c r="B229" t="str">
        <v>Region 4</v>
      </c>
      <c r="C229" t="str">
        <v>Juanda Airport Surabaya</v>
      </c>
      <c r="D229" t="str">
        <v>SUB</v>
      </c>
      <c r="E229">
        <v>0.899999999999999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0.96</v>
      </c>
      <c r="M229">
        <v>0.9768</v>
      </c>
      <c r="N229">
        <v>0.9912</v>
      </c>
      <c r="O229">
        <v>1</v>
      </c>
      <c r="P229">
        <v>1</v>
      </c>
      <c r="Q229">
        <v>0.9583</v>
      </c>
      <c r="R229">
        <v>0.9</v>
      </c>
      <c r="S229">
        <v>0.9038</v>
      </c>
      <c r="U22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29">
        <v>1</v>
      </c>
      <c r="W229">
        <v>1</v>
      </c>
      <c r="X229">
        <v>1</v>
      </c>
      <c r="Y229">
        <v>0.333000000000001</v>
      </c>
      <c r="Z229">
        <v>0.989</v>
      </c>
      <c r="AA229">
        <v>1</v>
      </c>
      <c r="AB229">
        <v>0.975</v>
      </c>
      <c r="AC229">
        <v>0.919</v>
      </c>
      <c r="AD229">
        <v>1</v>
      </c>
      <c r="AE229">
        <v>1</v>
      </c>
      <c r="AF229">
        <v>0.994</v>
      </c>
      <c r="AG229">
        <v>1</v>
      </c>
      <c r="AH22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29" t="str">
        <v>January</v>
      </c>
      <c r="AJ229" t="str">
        <v>2026</v>
      </c>
    </row>
    <row r="230" xml:space="preserve">
      <c r="A230">
        <v>46037</v>
      </c>
      <c r="B230" t="str">
        <v>Region 4</v>
      </c>
      <c r="C230" t="str">
        <v>Juanda Airport Surabaya</v>
      </c>
      <c r="D230" t="str">
        <v>SUB</v>
      </c>
      <c r="E230">
        <v>0.899999999999999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0.96</v>
      </c>
      <c r="M230">
        <v>0.9768</v>
      </c>
      <c r="N230">
        <v>0.9912</v>
      </c>
      <c r="O230">
        <v>1</v>
      </c>
      <c r="P230">
        <v>1</v>
      </c>
      <c r="Q230">
        <v>0.9583</v>
      </c>
      <c r="R230">
        <v>0.9</v>
      </c>
      <c r="S230">
        <v>0.9038</v>
      </c>
      <c r="U23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0">
        <v>1</v>
      </c>
      <c r="W230">
        <v>1</v>
      </c>
      <c r="X230">
        <v>1</v>
      </c>
      <c r="Y230">
        <v>0.333000000000001</v>
      </c>
      <c r="Z230">
        <v>0.989</v>
      </c>
      <c r="AA230">
        <v>1</v>
      </c>
      <c r="AB230">
        <v>0.975</v>
      </c>
      <c r="AC230">
        <v>0.919</v>
      </c>
      <c r="AD230">
        <v>1</v>
      </c>
      <c r="AE230">
        <v>1</v>
      </c>
      <c r="AF230">
        <v>0.994</v>
      </c>
      <c r="AG230">
        <v>1</v>
      </c>
      <c r="AH23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30" t="str">
        <v>January</v>
      </c>
      <c r="AJ230" t="str">
        <v>2026</v>
      </c>
    </row>
    <row r="231" xml:space="preserve">
      <c r="A231">
        <v>46038</v>
      </c>
      <c r="B231" t="str">
        <v>Region 4</v>
      </c>
      <c r="C231" t="str">
        <v>Juanda Airport Surabaya</v>
      </c>
      <c r="D231" t="str">
        <v>SUB</v>
      </c>
      <c r="E231">
        <v>0.899999999999999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0.96</v>
      </c>
      <c r="M231">
        <v>0.9768</v>
      </c>
      <c r="N231">
        <v>0.9912</v>
      </c>
      <c r="O231">
        <v>1</v>
      </c>
      <c r="P231">
        <v>1</v>
      </c>
      <c r="Q231">
        <v>0.9583</v>
      </c>
      <c r="R231">
        <v>0.9</v>
      </c>
      <c r="S231">
        <v>0.9038</v>
      </c>
      <c r="U23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1">
        <v>1</v>
      </c>
      <c r="W231">
        <v>1</v>
      </c>
      <c r="X231">
        <v>1</v>
      </c>
      <c r="Y231">
        <v>0.333000000000001</v>
      </c>
      <c r="Z231">
        <v>0.989</v>
      </c>
      <c r="AA231">
        <v>1</v>
      </c>
      <c r="AB231">
        <v>0.975</v>
      </c>
      <c r="AC231">
        <v>0.919</v>
      </c>
      <c r="AD231">
        <v>1</v>
      </c>
      <c r="AE231">
        <v>1</v>
      </c>
      <c r="AF231">
        <v>0.994</v>
      </c>
      <c r="AG231">
        <v>1</v>
      </c>
      <c r="AH23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31" t="str">
        <v>January</v>
      </c>
      <c r="AJ231" t="str">
        <v>2026</v>
      </c>
    </row>
    <row r="232" xml:space="preserve">
      <c r="A232">
        <v>46039</v>
      </c>
      <c r="B232" t="str">
        <v>Region 4</v>
      </c>
      <c r="C232" t="str">
        <v>Juanda Airport Surabaya</v>
      </c>
      <c r="D232" t="str">
        <v>SUB</v>
      </c>
      <c r="E232">
        <v>0.899999999999999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0.96</v>
      </c>
      <c r="M232">
        <v>0.9768</v>
      </c>
      <c r="N232">
        <v>0.9912</v>
      </c>
      <c r="O232">
        <v>1</v>
      </c>
      <c r="P232">
        <v>1</v>
      </c>
      <c r="Q232">
        <v>0.9583</v>
      </c>
      <c r="R232">
        <v>0.9</v>
      </c>
      <c r="S232">
        <v>0.9038</v>
      </c>
      <c r="U23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2">
        <v>1</v>
      </c>
      <c r="W232">
        <v>1</v>
      </c>
      <c r="X232">
        <v>1</v>
      </c>
      <c r="Y232">
        <v>0.333000000000001</v>
      </c>
      <c r="Z232">
        <v>0.989</v>
      </c>
      <c r="AA232">
        <v>1</v>
      </c>
      <c r="AB232">
        <v>0.975</v>
      </c>
      <c r="AC232">
        <v>0.919</v>
      </c>
      <c r="AD232">
        <v>1</v>
      </c>
      <c r="AE232">
        <v>1</v>
      </c>
      <c r="AF232">
        <v>0.994</v>
      </c>
      <c r="AG232">
        <v>1</v>
      </c>
      <c r="AH23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32" t="str">
        <v>January</v>
      </c>
      <c r="AJ232" t="str">
        <v>2026</v>
      </c>
    </row>
    <row r="233" xml:space="preserve">
      <c r="A233">
        <v>46040</v>
      </c>
      <c r="B233" t="str">
        <v>Region 4</v>
      </c>
      <c r="C233" t="str">
        <v>Juanda Airport Surabaya</v>
      </c>
      <c r="D233" t="str">
        <v>SUB</v>
      </c>
      <c r="E233">
        <v>0.899999999999999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0.96</v>
      </c>
      <c r="M233">
        <v>0.9768</v>
      </c>
      <c r="N233">
        <v>0.9912</v>
      </c>
      <c r="O233">
        <v>1</v>
      </c>
      <c r="P233">
        <v>1</v>
      </c>
      <c r="Q233">
        <v>0.9583</v>
      </c>
      <c r="R233">
        <v>0.9</v>
      </c>
      <c r="S233">
        <v>0.9038</v>
      </c>
      <c r="U23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3">
        <v>1</v>
      </c>
      <c r="W233">
        <v>1</v>
      </c>
      <c r="X233">
        <v>1</v>
      </c>
      <c r="Y233">
        <v>0.333000000000001</v>
      </c>
      <c r="Z233">
        <v>0.989</v>
      </c>
      <c r="AA233">
        <v>1</v>
      </c>
      <c r="AB233">
        <v>0.975</v>
      </c>
      <c r="AC233">
        <v>0.919</v>
      </c>
      <c r="AD233">
        <v>1</v>
      </c>
      <c r="AE233">
        <v>1</v>
      </c>
      <c r="AF233">
        <v>0.994</v>
      </c>
      <c r="AG233">
        <v>1</v>
      </c>
      <c r="AH23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flap.</v>
      </c>
      <c r="AI233" t="str">
        <v>January</v>
      </c>
      <c r="AJ233" t="str">
        <v>2026</v>
      </c>
    </row>
    <row r="234" xml:space="preserve">
      <c r="A234">
        <v>46041</v>
      </c>
      <c r="B234" t="str">
        <v>Region 4</v>
      </c>
      <c r="C234" t="str">
        <v>Juanda Airport Surabaya</v>
      </c>
      <c r="D234" t="str">
        <v>SUB</v>
      </c>
      <c r="E234">
        <v>0.899999999999999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0.96</v>
      </c>
      <c r="M234">
        <v>0.9768</v>
      </c>
      <c r="N234">
        <v>0.9912</v>
      </c>
      <c r="O234">
        <v>1</v>
      </c>
      <c r="P234">
        <v>1</v>
      </c>
      <c r="Q234">
        <v>0.9583</v>
      </c>
      <c r="R234">
        <v>0.9</v>
      </c>
      <c r="S234">
        <v>0.9038</v>
      </c>
      <c r="U23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4">
        <v>1</v>
      </c>
      <c r="W234">
        <v>1</v>
      </c>
      <c r="X234">
        <v>1</v>
      </c>
      <c r="Y234">
        <v>0.333000000000001</v>
      </c>
      <c r="Z234">
        <v>0.989</v>
      </c>
      <c r="AA234">
        <v>1</v>
      </c>
      <c r="AB234">
        <v>0.975</v>
      </c>
      <c r="AC234">
        <v>0.919</v>
      </c>
      <c r="AD234">
        <v>1</v>
      </c>
      <c r="AE234">
        <v>1</v>
      </c>
      <c r="AF234">
        <v>0.994</v>
      </c>
      <c r="AG234">
        <v>1</v>
      </c>
      <c r="AH23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1 unit yang rusak (1 unit tipe mobile trace (pengadaan tahun 2017) rencana akan diusulkan hapus aset . Dan di tahun 2025/2026 ada investasi pengadaan ETD sebanyak 3 unit._x000d_
4. Terdapat 4 titik akses door bermasalah. 3 titik access door T2. Avio E terdampak pek revitalisasi. koridor ruang office. access door gate 2&amp;3 terdapat kerusakan pada dropbolt karena terkena tetesan air dari plafon. 1 titik access door T1 yaitu finger reader airside cek in 26._x000d_
5. Terjadi kerusakan 1 jalur flap barrier T2 karena terdapat dioda yg terbakar pd board mesin flap dan 1 jalur flap barrier di T1 dikarenakan kerusakan pada motor penggerak</v>
      </c>
      <c r="AI234" t="str">
        <v>January</v>
      </c>
      <c r="AJ234" t="str">
        <v>2026</v>
      </c>
    </row>
    <row r="235" xml:space="preserve">
      <c r="A235">
        <v>46042</v>
      </c>
      <c r="B235" t="str">
        <v>Region 4</v>
      </c>
      <c r="C235" t="str">
        <v>Juanda Airport Surabaya</v>
      </c>
      <c r="D235" t="str">
        <v>SUB</v>
      </c>
      <c r="E235">
        <v>0.899999999999999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0.96</v>
      </c>
      <c r="M235">
        <v>0.9768</v>
      </c>
      <c r="N235">
        <v>0.9912</v>
      </c>
      <c r="O235">
        <v>1</v>
      </c>
      <c r="P235">
        <v>1</v>
      </c>
      <c r="Q235">
        <v>0.9583</v>
      </c>
      <c r="R235">
        <v>0.9</v>
      </c>
      <c r="S235">
        <v>0.9038</v>
      </c>
      <c r="U23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5">
        <v>1</v>
      </c>
      <c r="W235">
        <v>1</v>
      </c>
      <c r="X235">
        <v>1</v>
      </c>
      <c r="Y235">
        <v>0.333000000000001</v>
      </c>
      <c r="Z235">
        <v>0.989</v>
      </c>
      <c r="AA235">
        <v>1</v>
      </c>
      <c r="AB235">
        <v>0.975</v>
      </c>
      <c r="AC235">
        <v>0.919</v>
      </c>
      <c r="AD235">
        <v>1</v>
      </c>
      <c r="AE235">
        <v>1</v>
      </c>
      <c r="AF235">
        <v>0.994</v>
      </c>
      <c r="AG235">
        <v>1</v>
      </c>
      <c r="AH23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Dari 3 ETD yang dimiliki ada 2 unit yang rusak (1 unit tipe mobile trace (pengadaan tahun 2017, Quantum Sniffer pengadaan 2019). Dan di tahun 2025/2026 ada investasi pengadaan ETD sebanyak 4 unit._x000d_
4. Terdapat 2 titik akses door bermasalah. 1 titik access door T2. access door gate 3 terdapat kerusakan pada dropbolt karena terkena tetesan air dari plafon. 1 titik access door T1 yaitu finger reader airside cek in 26._x000d_
5. Terjadi kerusakan 1 jalur flap barrier T2 karena terdapat dioda yg terbakar pd board mesin flap dan 1 jalur flap barrier di T1 dikarenakan kerusakan pada motor penggerak</v>
      </c>
      <c r="AI235" t="str">
        <v>January</v>
      </c>
      <c r="AJ235" t="str">
        <v>2026</v>
      </c>
    </row>
    <row r="236" xml:space="preserve">
      <c r="A236">
        <v>46043</v>
      </c>
      <c r="B236" t="str">
        <v>Region 4</v>
      </c>
      <c r="C236" t="str">
        <v>Juanda Airport Surabaya</v>
      </c>
      <c r="D236" t="str">
        <v>SUB</v>
      </c>
      <c r="E236">
        <v>0.899999999999999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0.96</v>
      </c>
      <c r="M236">
        <v>0.9768</v>
      </c>
      <c r="N236">
        <v>0.9912</v>
      </c>
      <c r="O236">
        <v>1</v>
      </c>
      <c r="P236">
        <v>1</v>
      </c>
      <c r="Q236">
        <v>0.9583</v>
      </c>
      <c r="R236">
        <v>0.9</v>
      </c>
      <c r="S236">
        <v>0.9038</v>
      </c>
      <c r="U23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6">
        <v>1</v>
      </c>
      <c r="W236">
        <v>1</v>
      </c>
      <c r="X236">
        <v>1</v>
      </c>
      <c r="Y236">
        <v>1</v>
      </c>
      <c r="Z236">
        <v>0.989</v>
      </c>
      <c r="AA236">
        <v>1</v>
      </c>
      <c r="AB236">
        <v>0.989</v>
      </c>
      <c r="AC236">
        <v>0.919</v>
      </c>
      <c r="AD236">
        <v>1</v>
      </c>
      <c r="AE236">
        <v>1</v>
      </c>
      <c r="AF236">
        <v>0.994</v>
      </c>
      <c r="AG236">
        <v>1</v>
      </c>
      <c r="AH23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36" t="str">
        <v>January</v>
      </c>
      <c r="AJ236" t="str">
        <v>2026</v>
      </c>
    </row>
    <row r="237" xml:space="preserve">
      <c r="A237">
        <v>46044</v>
      </c>
      <c r="B237" t="str">
        <v>Region 4</v>
      </c>
      <c r="C237" t="str">
        <v>Juanda Airport Surabaya</v>
      </c>
      <c r="D237" t="str">
        <v>SUB</v>
      </c>
      <c r="E237">
        <v>0.899999999999999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0.96</v>
      </c>
      <c r="M237">
        <v>0.9768</v>
      </c>
      <c r="N237">
        <v>0.9912</v>
      </c>
      <c r="O237">
        <v>1</v>
      </c>
      <c r="P237">
        <v>1</v>
      </c>
      <c r="Q237">
        <v>0.9583</v>
      </c>
      <c r="R237">
        <v>0.9</v>
      </c>
      <c r="S237">
        <v>0.9038</v>
      </c>
      <c r="U23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7">
        <v>1</v>
      </c>
      <c r="W237">
        <v>1</v>
      </c>
      <c r="X237">
        <v>1</v>
      </c>
      <c r="Y237">
        <v>1</v>
      </c>
      <c r="Z237">
        <v>0.99</v>
      </c>
      <c r="AA237">
        <v>1</v>
      </c>
      <c r="AB237">
        <v>0.989</v>
      </c>
      <c r="AC237">
        <v>0.919</v>
      </c>
      <c r="AD237">
        <v>1</v>
      </c>
      <c r="AE237">
        <v>1</v>
      </c>
      <c r="AF237">
        <v>0.994</v>
      </c>
      <c r="AG237">
        <v>1</v>
      </c>
      <c r="AH23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37" t="str">
        <v>January</v>
      </c>
      <c r="AJ237" t="str">
        <v>2026</v>
      </c>
    </row>
    <row r="238" xml:space="preserve">
      <c r="A238">
        <v>46045</v>
      </c>
      <c r="B238" t="str">
        <v>Region 4</v>
      </c>
      <c r="C238" t="str">
        <v>Juanda Airport Surabaya</v>
      </c>
      <c r="D238" t="str">
        <v>SUB</v>
      </c>
      <c r="E238">
        <v>0.899999999999999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0.96</v>
      </c>
      <c r="M238">
        <v>0.9768</v>
      </c>
      <c r="N238">
        <v>0.9912</v>
      </c>
      <c r="O238">
        <v>1</v>
      </c>
      <c r="P238">
        <v>1</v>
      </c>
      <c r="Q238">
        <v>0.9583</v>
      </c>
      <c r="R238">
        <v>0.9</v>
      </c>
      <c r="S238">
        <v>0.9038</v>
      </c>
      <c r="U23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8">
        <v>1</v>
      </c>
      <c r="W238">
        <v>1</v>
      </c>
      <c r="X238">
        <v>1</v>
      </c>
      <c r="Y238">
        <v>1</v>
      </c>
      <c r="Z238">
        <v>0.99</v>
      </c>
      <c r="AA238">
        <v>1</v>
      </c>
      <c r="AB238">
        <v>0.989</v>
      </c>
      <c r="AC238">
        <v>0.919</v>
      </c>
      <c r="AD238">
        <v>1</v>
      </c>
      <c r="AE238">
        <v>1</v>
      </c>
      <c r="AF238">
        <v>0.994</v>
      </c>
      <c r="AG238">
        <v>1</v>
      </c>
      <c r="AH23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38" t="str">
        <v>January</v>
      </c>
      <c r="AJ238" t="str">
        <v>2026</v>
      </c>
    </row>
    <row r="239" xml:space="preserve">
      <c r="A239">
        <v>46046</v>
      </c>
      <c r="B239" t="str">
        <v>Region 4</v>
      </c>
      <c r="C239" t="str">
        <v>Juanda Airport Surabaya</v>
      </c>
      <c r="D239" t="str">
        <v>SUB</v>
      </c>
      <c r="E239">
        <v>0.899999999999999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0.96</v>
      </c>
      <c r="M239">
        <v>0.9768</v>
      </c>
      <c r="N239">
        <v>0.9912</v>
      </c>
      <c r="O239">
        <v>1</v>
      </c>
      <c r="P239">
        <v>1</v>
      </c>
      <c r="Q239">
        <v>0.9583</v>
      </c>
      <c r="R239">
        <v>0.9</v>
      </c>
      <c r="S239">
        <v>0.9038</v>
      </c>
      <c r="U23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39">
        <v>1</v>
      </c>
      <c r="W239">
        <v>1</v>
      </c>
      <c r="X239">
        <v>1</v>
      </c>
      <c r="Y239">
        <v>1</v>
      </c>
      <c r="Z239">
        <v>0.99</v>
      </c>
      <c r="AA239">
        <v>1</v>
      </c>
      <c r="AB239">
        <v>0.989</v>
      </c>
      <c r="AC239">
        <v>0.919</v>
      </c>
      <c r="AD239">
        <v>1</v>
      </c>
      <c r="AE239">
        <v>1</v>
      </c>
      <c r="AF239">
        <v>0.994</v>
      </c>
      <c r="AG239">
        <v>1</v>
      </c>
      <c r="AH23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39" t="str">
        <v>January</v>
      </c>
      <c r="AJ239" t="str">
        <v>2026</v>
      </c>
    </row>
    <row r="240" xml:space="preserve">
      <c r="A240">
        <v>46047</v>
      </c>
      <c r="B240" t="str">
        <v>Region 4</v>
      </c>
      <c r="C240" t="str">
        <v>Juanda Airport Surabaya</v>
      </c>
      <c r="D240" t="str">
        <v>SUB</v>
      </c>
      <c r="E240">
        <v>0.899999999999999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0.96</v>
      </c>
      <c r="M240">
        <v>0.9768</v>
      </c>
      <c r="N240">
        <v>0.9912</v>
      </c>
      <c r="O240">
        <v>1</v>
      </c>
      <c r="P240">
        <v>1</v>
      </c>
      <c r="Q240">
        <v>0.9583</v>
      </c>
      <c r="R240">
        <v>0.9</v>
      </c>
      <c r="S240">
        <v>0.9038</v>
      </c>
      <c r="U24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0">
        <v>1</v>
      </c>
      <c r="W240">
        <v>1</v>
      </c>
      <c r="X240">
        <v>1</v>
      </c>
      <c r="Y240">
        <v>1</v>
      </c>
      <c r="Z240">
        <v>0.99</v>
      </c>
      <c r="AA240">
        <v>1</v>
      </c>
      <c r="AB240">
        <v>0.989</v>
      </c>
      <c r="AC240">
        <v>0.919</v>
      </c>
      <c r="AD240">
        <v>1</v>
      </c>
      <c r="AE240">
        <v>1</v>
      </c>
      <c r="AF240">
        <v>0.994</v>
      </c>
      <c r="AG240">
        <v>1</v>
      </c>
      <c r="AH24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40" t="str">
        <v>January</v>
      </c>
      <c r="AJ240" t="str">
        <v>2026</v>
      </c>
    </row>
    <row r="241" xml:space="preserve">
      <c r="A241">
        <v>46048</v>
      </c>
      <c r="B241" t="str">
        <v>Region 4</v>
      </c>
      <c r="C241" t="str">
        <v>Juanda Airport Surabaya</v>
      </c>
      <c r="D241" t="str">
        <v>SUB</v>
      </c>
      <c r="E241">
        <v>0.899999999999999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0.96</v>
      </c>
      <c r="M241">
        <v>0.9768</v>
      </c>
      <c r="N241">
        <v>0.9912</v>
      </c>
      <c r="O241">
        <v>1</v>
      </c>
      <c r="P241">
        <v>1</v>
      </c>
      <c r="Q241">
        <v>0.9583</v>
      </c>
      <c r="R241">
        <v>0.9</v>
      </c>
      <c r="S241">
        <v>0.9038</v>
      </c>
      <c r="U24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1">
        <v>1</v>
      </c>
      <c r="W241">
        <v>1</v>
      </c>
      <c r="X241">
        <v>1</v>
      </c>
      <c r="Y241">
        <v>1</v>
      </c>
      <c r="Z241">
        <v>0.989</v>
      </c>
      <c r="AA241">
        <v>1</v>
      </c>
      <c r="AB241">
        <v>0.989</v>
      </c>
      <c r="AC241">
        <v>0.919</v>
      </c>
      <c r="AD241">
        <v>1</v>
      </c>
      <c r="AE241">
        <v>1</v>
      </c>
      <c r="AF241">
        <v>0.994</v>
      </c>
      <c r="AG241">
        <v>1</v>
      </c>
      <c r="AH24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41" t="str">
        <v>January</v>
      </c>
      <c r="AJ241" t="str">
        <v>2026</v>
      </c>
    </row>
    <row r="242" xml:space="preserve">
      <c r="A242">
        <v>46049</v>
      </c>
      <c r="B242" t="str">
        <v>Region 4</v>
      </c>
      <c r="C242" t="str">
        <v>Juanda Airport Surabaya</v>
      </c>
      <c r="D242" t="str">
        <v>SUB</v>
      </c>
      <c r="E242">
        <v>0.899999999999999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0.96</v>
      </c>
      <c r="M242">
        <v>0.9768</v>
      </c>
      <c r="N242">
        <v>0.9912</v>
      </c>
      <c r="O242">
        <v>1</v>
      </c>
      <c r="P242">
        <v>1</v>
      </c>
      <c r="Q242">
        <v>0.9583</v>
      </c>
      <c r="R242">
        <v>0.9</v>
      </c>
      <c r="S242">
        <v>0.9038</v>
      </c>
      <c r="U24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2">
        <v>1</v>
      </c>
      <c r="W242">
        <v>1</v>
      </c>
      <c r="X242">
        <v>1</v>
      </c>
      <c r="Y242">
        <v>1</v>
      </c>
      <c r="Z242">
        <v>0.99</v>
      </c>
      <c r="AA242">
        <v>1</v>
      </c>
      <c r="AB242">
        <v>0.989</v>
      </c>
      <c r="AC242">
        <v>0.919</v>
      </c>
      <c r="AD242">
        <v>1</v>
      </c>
      <c r="AE242">
        <v>1</v>
      </c>
      <c r="AF242">
        <v>0.994</v>
      </c>
      <c r="AG242">
        <v>1</v>
      </c>
      <c r="AH24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42" t="str">
        <v>January</v>
      </c>
      <c r="AJ242" t="str">
        <v>2026</v>
      </c>
    </row>
    <row r="243" xml:space="preserve">
      <c r="A243">
        <v>46050</v>
      </c>
      <c r="B243" t="str">
        <v>Region 4</v>
      </c>
      <c r="C243" t="str">
        <v>Juanda Airport Surabaya</v>
      </c>
      <c r="D243" t="str">
        <v>SUB</v>
      </c>
      <c r="E243">
        <v>0.899999999999999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0.96</v>
      </c>
      <c r="M243">
        <v>0.9768</v>
      </c>
      <c r="N243">
        <v>0.9912</v>
      </c>
      <c r="O243">
        <v>1</v>
      </c>
      <c r="P243">
        <v>1</v>
      </c>
      <c r="Q243">
        <v>0.9583</v>
      </c>
      <c r="R243">
        <v>0.9</v>
      </c>
      <c r="S243">
        <v>0.9038</v>
      </c>
      <c r="U24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3">
        <v>1</v>
      </c>
      <c r="W243">
        <v>1</v>
      </c>
      <c r="X243">
        <v>1</v>
      </c>
      <c r="Y243">
        <v>1</v>
      </c>
      <c r="Z243">
        <v>0.99</v>
      </c>
      <c r="AA243">
        <v>1</v>
      </c>
      <c r="AB243">
        <v>0.989</v>
      </c>
      <c r="AC243">
        <v>0.919</v>
      </c>
      <c r="AD243">
        <v>1</v>
      </c>
      <c r="AE243">
        <v>1</v>
      </c>
      <c r="AF243">
        <v>0.994</v>
      </c>
      <c r="AG243">
        <v>1</v>
      </c>
      <c r="AH24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akses door bermasalah. 1 titik access door T2.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</v>
      </c>
      <c r="AI243" t="str">
        <v>January</v>
      </c>
      <c r="AJ243" t="str">
        <v>2026</v>
      </c>
    </row>
    <row r="244" xml:space="preserve">
      <c r="A244">
        <v>46051</v>
      </c>
      <c r="B244" t="str">
        <v>Region 4</v>
      </c>
      <c r="C244" t="str">
        <v>Juanda Airport Surabaya</v>
      </c>
      <c r="D244" t="str">
        <v>SUB</v>
      </c>
      <c r="E244">
        <v>0.899999999999999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0.96</v>
      </c>
      <c r="M244">
        <v>0.9768</v>
      </c>
      <c r="N244">
        <v>0.9912</v>
      </c>
      <c r="O244">
        <v>1</v>
      </c>
      <c r="P244">
        <v>1</v>
      </c>
      <c r="Q244">
        <v>0.9583</v>
      </c>
      <c r="R244">
        <v>0.9</v>
      </c>
      <c r="S244">
        <v>0.9038</v>
      </c>
      <c r="U24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4">
        <v>1</v>
      </c>
      <c r="W244">
        <v>1</v>
      </c>
      <c r="X244">
        <v>1</v>
      </c>
      <c r="Y244">
        <v>0.2</v>
      </c>
      <c r="Z244">
        <v>0.99</v>
      </c>
      <c r="AA244">
        <v>1</v>
      </c>
      <c r="AB244">
        <v>0.989</v>
      </c>
      <c r="AC244">
        <v>0.919</v>
      </c>
      <c r="AD244">
        <v>1</v>
      </c>
      <c r="AE244">
        <v>1</v>
      </c>
      <c r="AF244">
        <v>0.994</v>
      </c>
      <c r="AG244">
        <v>1</v>
      </c>
      <c r="AH24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44" t="str">
        <v>January</v>
      </c>
      <c r="AJ244" t="str">
        <v>2026</v>
      </c>
    </row>
    <row r="245" xml:space="preserve">
      <c r="A245">
        <v>46052</v>
      </c>
      <c r="B245" t="str">
        <v>Region 4</v>
      </c>
      <c r="C245" t="str">
        <v>Juanda Airport Surabaya</v>
      </c>
      <c r="D245" t="str">
        <v>SUB</v>
      </c>
      <c r="E245">
        <v>0.899999999999999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0.96</v>
      </c>
      <c r="M245">
        <v>0.9768</v>
      </c>
      <c r="N245">
        <v>0.9912</v>
      </c>
      <c r="O245">
        <v>1</v>
      </c>
      <c r="P245">
        <v>1</v>
      </c>
      <c r="Q245">
        <v>0.9583</v>
      </c>
      <c r="R245">
        <v>0.9</v>
      </c>
      <c r="S245">
        <v>0.9038</v>
      </c>
      <c r="U24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5">
        <v>1</v>
      </c>
      <c r="W245">
        <v>1</v>
      </c>
      <c r="X245">
        <v>1</v>
      </c>
      <c r="Y245">
        <v>0.2</v>
      </c>
      <c r="Z245">
        <v>0.99</v>
      </c>
      <c r="AA245">
        <v>1</v>
      </c>
      <c r="AB245">
        <v>0.989</v>
      </c>
      <c r="AC245">
        <v>0.919</v>
      </c>
      <c r="AD245">
        <v>1</v>
      </c>
      <c r="AE245">
        <v>1</v>
      </c>
      <c r="AF245">
        <v>0.994</v>
      </c>
      <c r="AG245">
        <v>1</v>
      </c>
      <c r="AH24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45" t="str">
        <v>January</v>
      </c>
      <c r="AJ245" t="str">
        <v>2026</v>
      </c>
    </row>
    <row r="246" xml:space="preserve">
      <c r="A246">
        <v>46053</v>
      </c>
      <c r="B246" t="str">
        <v>Region 4</v>
      </c>
      <c r="C246" t="str">
        <v>Juanda Airport Surabaya</v>
      </c>
      <c r="D246" t="str">
        <v>SUB</v>
      </c>
      <c r="E246">
        <v>0.899999999999999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0.96</v>
      </c>
      <c r="M246">
        <v>0.9768</v>
      </c>
      <c r="N246">
        <v>0.9912</v>
      </c>
      <c r="O246">
        <v>1</v>
      </c>
      <c r="P246">
        <v>1</v>
      </c>
      <c r="Q246">
        <v>0.9583</v>
      </c>
      <c r="R246">
        <v>0.9</v>
      </c>
      <c r="S246">
        <v>0.9038</v>
      </c>
      <c r="U24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6">
        <v>1</v>
      </c>
      <c r="W246">
        <v>1</v>
      </c>
      <c r="X246">
        <v>1</v>
      </c>
      <c r="Y246">
        <v>0.2</v>
      </c>
      <c r="Z246">
        <v>0.99</v>
      </c>
      <c r="AA246">
        <v>1</v>
      </c>
      <c r="AB246">
        <v>0.989</v>
      </c>
      <c r="AC246">
        <v>0.919</v>
      </c>
      <c r="AD246">
        <v>1</v>
      </c>
      <c r="AE246">
        <v>1</v>
      </c>
      <c r="AF246">
        <v>0.994</v>
      </c>
      <c r="AG246">
        <v>1</v>
      </c>
      <c r="AH24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46" t="str">
        <v>January</v>
      </c>
      <c r="AJ246" t="str">
        <v>2026</v>
      </c>
    </row>
    <row r="247" xml:space="preserve">
      <c r="A247">
        <v>46054</v>
      </c>
      <c r="B247" t="str">
        <v>Region 4</v>
      </c>
      <c r="C247" t="str">
        <v>Juanda Airport Surabaya</v>
      </c>
      <c r="D247" t="str">
        <v>SUB</v>
      </c>
      <c r="E247">
        <v>0.899999999999999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0.96</v>
      </c>
      <c r="M247">
        <v>0.9768</v>
      </c>
      <c r="N247">
        <v>0.9912</v>
      </c>
      <c r="O247">
        <v>1</v>
      </c>
      <c r="P247">
        <v>1</v>
      </c>
      <c r="Q247">
        <v>0.9583</v>
      </c>
      <c r="R247">
        <v>0.9</v>
      </c>
      <c r="S247">
        <v>0.9038</v>
      </c>
      <c r="U24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7">
        <v>1</v>
      </c>
      <c r="W247">
        <v>1</v>
      </c>
      <c r="X247">
        <v>1</v>
      </c>
      <c r="Y247">
        <v>0.2</v>
      </c>
      <c r="Z247">
        <v>0.99</v>
      </c>
      <c r="AA247">
        <v>1</v>
      </c>
      <c r="AB247">
        <v>0.989</v>
      </c>
      <c r="AC247">
        <v>0.919</v>
      </c>
      <c r="AD247">
        <v>1</v>
      </c>
      <c r="AE247">
        <v>1</v>
      </c>
      <c r="AF247">
        <v>0.994</v>
      </c>
      <c r="AG247">
        <v>1</v>
      </c>
      <c r="AH24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47" t="str">
        <v>February</v>
      </c>
      <c r="AJ247" t="str">
        <v>2026</v>
      </c>
    </row>
    <row r="248" xml:space="preserve">
      <c r="A248">
        <v>46055</v>
      </c>
      <c r="B248" t="str">
        <v>Region 4</v>
      </c>
      <c r="C248" t="str">
        <v>Juanda Airport Surabaya</v>
      </c>
      <c r="D248" t="str">
        <v>SUB</v>
      </c>
      <c r="E248">
        <v>0.899999999999999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0.96</v>
      </c>
      <c r="M248">
        <v>0.9768</v>
      </c>
      <c r="N248">
        <v>0.9912</v>
      </c>
      <c r="O248">
        <v>1</v>
      </c>
      <c r="P248">
        <v>1</v>
      </c>
      <c r="Q248">
        <v>0.9583</v>
      </c>
      <c r="R248">
        <v>0.9</v>
      </c>
      <c r="S248">
        <v>0.9038</v>
      </c>
      <c r="U24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8">
        <v>1</v>
      </c>
      <c r="W248">
        <v>1</v>
      </c>
      <c r="X248">
        <v>1</v>
      </c>
      <c r="Y248">
        <v>0.2</v>
      </c>
      <c r="Z248">
        <v>0.99</v>
      </c>
      <c r="AA248">
        <v>1</v>
      </c>
      <c r="AB248">
        <v>0.989</v>
      </c>
      <c r="AC248">
        <v>0.919</v>
      </c>
      <c r="AD248">
        <v>1</v>
      </c>
      <c r="AE248">
        <v>1</v>
      </c>
      <c r="AF248">
        <v>0.994</v>
      </c>
      <c r="AG248">
        <v>1</v>
      </c>
      <c r="AH24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48" t="str">
        <v>February</v>
      </c>
      <c r="AJ248" t="str">
        <v>2026</v>
      </c>
    </row>
    <row r="249" xml:space="preserve">
      <c r="A249">
        <v>46056</v>
      </c>
      <c r="B249" t="str">
        <v>Region 4</v>
      </c>
      <c r="C249" t="str">
        <v>Juanda Airport Surabaya</v>
      </c>
      <c r="D249" t="str">
        <v>SUB</v>
      </c>
      <c r="E249">
        <v>0.899999999999999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0.96</v>
      </c>
      <c r="M249">
        <v>0.9768</v>
      </c>
      <c r="N249">
        <v>0.9912</v>
      </c>
      <c r="O249">
        <v>1</v>
      </c>
      <c r="P249">
        <v>1</v>
      </c>
      <c r="Q249">
        <v>0.9583</v>
      </c>
      <c r="R249">
        <v>0.9</v>
      </c>
      <c r="S249">
        <v>0.9038</v>
      </c>
      <c r="U24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49">
        <v>1</v>
      </c>
      <c r="W249">
        <v>1</v>
      </c>
      <c r="X249">
        <v>1</v>
      </c>
      <c r="Y249">
        <v>0.2</v>
      </c>
      <c r="Z249">
        <v>0.99</v>
      </c>
      <c r="AA249">
        <v>1</v>
      </c>
      <c r="AB249">
        <v>0.989</v>
      </c>
      <c r="AC249">
        <v>0.919</v>
      </c>
      <c r="AD249">
        <v>1</v>
      </c>
      <c r="AE249">
        <v>1</v>
      </c>
      <c r="AF249">
        <v>0.994</v>
      </c>
      <c r="AG249">
        <v>1</v>
      </c>
      <c r="AH24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49" t="str">
        <v>February</v>
      </c>
      <c r="AJ249" t="str">
        <v>2026</v>
      </c>
    </row>
    <row r="250" xml:space="preserve">
      <c r="A250">
        <v>46057</v>
      </c>
      <c r="B250" t="str">
        <v>Region 4</v>
      </c>
      <c r="C250" t="str">
        <v>Juanda Airport Surabaya</v>
      </c>
      <c r="D250" t="str">
        <v>SUB</v>
      </c>
      <c r="E250">
        <v>0.899999999999999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0.96</v>
      </c>
      <c r="M250">
        <v>0.9768</v>
      </c>
      <c r="N250">
        <v>0.9912</v>
      </c>
      <c r="O250">
        <v>1</v>
      </c>
      <c r="P250">
        <v>1</v>
      </c>
      <c r="Q250">
        <v>0.9583</v>
      </c>
      <c r="R250">
        <v>0.9</v>
      </c>
      <c r="S250">
        <v>0.9038</v>
      </c>
      <c r="U25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0">
        <v>1</v>
      </c>
      <c r="W250">
        <v>1</v>
      </c>
      <c r="X250">
        <v>1</v>
      </c>
      <c r="Y250">
        <v>0.2</v>
      </c>
      <c r="Z250">
        <v>0.99</v>
      </c>
      <c r="AA250">
        <v>1</v>
      </c>
      <c r="AB250">
        <v>0.989</v>
      </c>
      <c r="AC250">
        <v>0.919</v>
      </c>
      <c r="AD250">
        <v>1</v>
      </c>
      <c r="AE250">
        <v>1</v>
      </c>
      <c r="AF250">
        <v>0.994</v>
      </c>
      <c r="AG250">
        <v>1</v>
      </c>
      <c r="AH25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0" t="str">
        <v>February</v>
      </c>
      <c r="AJ250" t="str">
        <v>2026</v>
      </c>
    </row>
    <row r="251" xml:space="preserve">
      <c r="A251">
        <v>46058</v>
      </c>
      <c r="B251" t="str">
        <v>Region 4</v>
      </c>
      <c r="C251" t="str">
        <v>Juanda Airport Surabaya</v>
      </c>
      <c r="D251" t="str">
        <v>SUB</v>
      </c>
      <c r="E251">
        <v>0.899999999999999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0.96</v>
      </c>
      <c r="M251">
        <v>0.9768</v>
      </c>
      <c r="N251">
        <v>0.9912</v>
      </c>
      <c r="O251">
        <v>1</v>
      </c>
      <c r="P251">
        <v>1</v>
      </c>
      <c r="Q251">
        <v>0.9583</v>
      </c>
      <c r="R251">
        <v>0.9</v>
      </c>
      <c r="S251">
        <v>0.9038</v>
      </c>
      <c r="U25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1">
        <v>1</v>
      </c>
      <c r="W251">
        <v>1</v>
      </c>
      <c r="X251">
        <v>1</v>
      </c>
      <c r="Y251">
        <v>0.2</v>
      </c>
      <c r="Z251">
        <v>0.99</v>
      </c>
      <c r="AA251">
        <v>1</v>
      </c>
      <c r="AB251">
        <v>0.989</v>
      </c>
      <c r="AC251">
        <v>0.919</v>
      </c>
      <c r="AD251">
        <v>1</v>
      </c>
      <c r="AE251">
        <v>1</v>
      </c>
      <c r="AF251">
        <v>0.994</v>
      </c>
      <c r="AG251">
        <v>1</v>
      </c>
      <c r="AH25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1" t="str">
        <v>February</v>
      </c>
      <c r="AJ251" t="str">
        <v>2026</v>
      </c>
    </row>
    <row r="252" xml:space="preserve">
      <c r="A252">
        <v>46059</v>
      </c>
      <c r="B252" t="str">
        <v>Region 4</v>
      </c>
      <c r="C252" t="str">
        <v>Juanda Airport Surabaya</v>
      </c>
      <c r="D252" t="str">
        <v>SUB</v>
      </c>
      <c r="E252">
        <v>0.899999999999999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0.96</v>
      </c>
      <c r="M252">
        <v>0.9768</v>
      </c>
      <c r="N252">
        <v>0.9912</v>
      </c>
      <c r="O252">
        <v>1</v>
      </c>
      <c r="P252">
        <v>1</v>
      </c>
      <c r="Q252">
        <v>0.9583</v>
      </c>
      <c r="R252">
        <v>0.9</v>
      </c>
      <c r="S252">
        <v>0.9038</v>
      </c>
      <c r="U25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2">
        <v>1</v>
      </c>
      <c r="W252">
        <v>1</v>
      </c>
      <c r="X252">
        <v>1</v>
      </c>
      <c r="Y252">
        <v>0.2</v>
      </c>
      <c r="Z252">
        <v>0.99</v>
      </c>
      <c r="AA252">
        <v>1</v>
      </c>
      <c r="AB252">
        <v>0.989</v>
      </c>
      <c r="AC252">
        <v>0.919</v>
      </c>
      <c r="AD252">
        <v>1</v>
      </c>
      <c r="AE252">
        <v>1</v>
      </c>
      <c r="AF252">
        <v>0.994</v>
      </c>
      <c r="AG252">
        <v>1</v>
      </c>
      <c r="AH25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2" t="str">
        <v>February</v>
      </c>
      <c r="AJ252" t="str">
        <v>2026</v>
      </c>
    </row>
    <row r="253" xml:space="preserve">
      <c r="A253">
        <v>46060</v>
      </c>
      <c r="B253" t="str">
        <v>Region 4</v>
      </c>
      <c r="C253" t="str">
        <v>Juanda Airport Surabaya</v>
      </c>
      <c r="D253" t="str">
        <v>SUB</v>
      </c>
      <c r="E253">
        <v>0.899999999999999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0.96</v>
      </c>
      <c r="M253">
        <v>0.9768</v>
      </c>
      <c r="N253">
        <v>0.9912</v>
      </c>
      <c r="O253">
        <v>1</v>
      </c>
      <c r="P253">
        <v>1</v>
      </c>
      <c r="Q253">
        <v>0.9583</v>
      </c>
      <c r="R253">
        <v>0.9</v>
      </c>
      <c r="S253">
        <v>0.9038</v>
      </c>
      <c r="U25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3">
        <v>1</v>
      </c>
      <c r="W253">
        <v>1</v>
      </c>
      <c r="X253">
        <v>1</v>
      </c>
      <c r="Y253">
        <v>0.2</v>
      </c>
      <c r="Z253">
        <v>0.988</v>
      </c>
      <c r="AA253">
        <v>1</v>
      </c>
      <c r="AB253">
        <v>0.984</v>
      </c>
      <c r="AC253">
        <v>0.919</v>
      </c>
      <c r="AD253">
        <v>1</v>
      </c>
      <c r="AE253">
        <v>1</v>
      </c>
      <c r="AF253">
        <v>0.994</v>
      </c>
      <c r="AG253">
        <v>1</v>
      </c>
      <c r="AH25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3" t="str">
        <v>February</v>
      </c>
      <c r="AJ253" t="str">
        <v>2026</v>
      </c>
    </row>
    <row r="254" xml:space="preserve">
      <c r="A254">
        <v>46061</v>
      </c>
      <c r="B254" t="str">
        <v>Region 4</v>
      </c>
      <c r="C254" t="str">
        <v>Juanda Airport Surabaya</v>
      </c>
      <c r="D254" t="str">
        <v>SUB</v>
      </c>
      <c r="E254">
        <v>0.899999999999999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0.96</v>
      </c>
      <c r="M254">
        <v>0.9768</v>
      </c>
      <c r="N254">
        <v>0.9912</v>
      </c>
      <c r="O254">
        <v>1</v>
      </c>
      <c r="P254">
        <v>1</v>
      </c>
      <c r="Q254">
        <v>0.9583</v>
      </c>
      <c r="R254">
        <v>0.9</v>
      </c>
      <c r="S254">
        <v>0.9038</v>
      </c>
      <c r="U25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4">
        <v>1</v>
      </c>
      <c r="W254">
        <v>1</v>
      </c>
      <c r="X254">
        <v>1</v>
      </c>
      <c r="Y254">
        <v>0.2</v>
      </c>
      <c r="Z254">
        <v>0.988</v>
      </c>
      <c r="AA254">
        <v>1</v>
      </c>
      <c r="AB254">
        <v>0.984</v>
      </c>
      <c r="AC254">
        <v>0.919</v>
      </c>
      <c r="AD254">
        <v>1</v>
      </c>
      <c r="AE254">
        <v>1</v>
      </c>
      <c r="AF254">
        <v>0.994</v>
      </c>
      <c r="AG254">
        <v>1</v>
      </c>
      <c r="AH25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4" t="str">
        <v>February</v>
      </c>
      <c r="AJ254" t="str">
        <v>2026</v>
      </c>
    </row>
    <row r="255" xml:space="preserve">
      <c r="A255">
        <v>46062</v>
      </c>
      <c r="B255" t="str">
        <v>Region 4</v>
      </c>
      <c r="C255" t="str">
        <v>Juanda Airport Surabaya</v>
      </c>
      <c r="D255" t="str">
        <v>SUB</v>
      </c>
      <c r="E255">
        <v>0.899999999999999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0.96</v>
      </c>
      <c r="M255">
        <v>0.9768</v>
      </c>
      <c r="N255">
        <v>0.9912</v>
      </c>
      <c r="O255">
        <v>1</v>
      </c>
      <c r="P255">
        <v>1</v>
      </c>
      <c r="Q255">
        <v>0.9583</v>
      </c>
      <c r="R255">
        <v>0.9</v>
      </c>
      <c r="S255">
        <v>0.9038</v>
      </c>
      <c r="U25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5">
        <v>1</v>
      </c>
      <c r="W255">
        <v>1</v>
      </c>
      <c r="X255">
        <v>1</v>
      </c>
      <c r="Y255">
        <v>0.2</v>
      </c>
      <c r="Z255">
        <v>0.988</v>
      </c>
      <c r="AA255">
        <v>1</v>
      </c>
      <c r="AB255">
        <v>0.984</v>
      </c>
      <c r="AC255">
        <v>0.919</v>
      </c>
      <c r="AD255">
        <v>1</v>
      </c>
      <c r="AE255">
        <v>1</v>
      </c>
      <c r="AF255">
        <v>0.994</v>
      </c>
      <c r="AG255">
        <v>1</v>
      </c>
      <c r="AH25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5" t="str">
        <v>February</v>
      </c>
      <c r="AJ255" t="str">
        <v>2026</v>
      </c>
    </row>
    <row r="256" xml:space="preserve">
      <c r="A256">
        <v>46063</v>
      </c>
      <c r="B256" t="str">
        <v>Region 4</v>
      </c>
      <c r="C256" t="str">
        <v>Juanda Airport Surabaya</v>
      </c>
      <c r="D256" t="str">
        <v>SUB</v>
      </c>
      <c r="E256">
        <v>0.899999999999999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0.96</v>
      </c>
      <c r="M256">
        <v>0.9768</v>
      </c>
      <c r="N256">
        <v>0.9912</v>
      </c>
      <c r="O256">
        <v>1</v>
      </c>
      <c r="P256">
        <v>1</v>
      </c>
      <c r="Q256">
        <v>0.9583</v>
      </c>
      <c r="R256">
        <v>0.9</v>
      </c>
      <c r="S256">
        <v>0.9038</v>
      </c>
      <c r="U25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6">
        <v>1</v>
      </c>
      <c r="W256">
        <v>1</v>
      </c>
      <c r="X256">
        <v>1</v>
      </c>
      <c r="Y256">
        <v>0.2</v>
      </c>
      <c r="Z256">
        <v>0.988</v>
      </c>
      <c r="AA256">
        <v>1</v>
      </c>
      <c r="AB256">
        <v>0.984</v>
      </c>
      <c r="AC256">
        <v>0.919</v>
      </c>
      <c r="AD256">
        <v>1</v>
      </c>
      <c r="AE256">
        <v>1</v>
      </c>
      <c r="AF256">
        <v>0.994</v>
      </c>
      <c r="AG256">
        <v>1</v>
      </c>
      <c r="AH25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6" t="str">
        <v>February</v>
      </c>
      <c r="AJ256" t="str">
        <v>2026</v>
      </c>
    </row>
    <row r="257" xml:space="preserve">
      <c r="A257">
        <v>46064</v>
      </c>
      <c r="B257" t="str">
        <v>Region 4</v>
      </c>
      <c r="C257" t="str">
        <v>Juanda Airport Surabaya</v>
      </c>
      <c r="D257" t="str">
        <v>SUB</v>
      </c>
      <c r="E257">
        <v>0.899999999999999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0.96</v>
      </c>
      <c r="M257">
        <v>0.9768</v>
      </c>
      <c r="N257">
        <v>0.9912</v>
      </c>
      <c r="O257">
        <v>1</v>
      </c>
      <c r="P257">
        <v>1</v>
      </c>
      <c r="Q257">
        <v>0.9583</v>
      </c>
      <c r="R257">
        <v>0.9</v>
      </c>
      <c r="S257">
        <v>0.9038</v>
      </c>
      <c r="U25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7">
        <v>1</v>
      </c>
      <c r="W257">
        <v>1</v>
      </c>
      <c r="X257">
        <v>1</v>
      </c>
      <c r="Y257">
        <v>0.2</v>
      </c>
      <c r="Z257">
        <v>0.988</v>
      </c>
      <c r="AA257">
        <v>1</v>
      </c>
      <c r="AB257">
        <v>0.984</v>
      </c>
      <c r="AC257">
        <v>0.919</v>
      </c>
      <c r="AD257">
        <v>1</v>
      </c>
      <c r="AE257">
        <v>1</v>
      </c>
      <c r="AF257">
        <v>0.994</v>
      </c>
      <c r="AG257">
        <v>1</v>
      </c>
      <c r="AH25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</v>
      </c>
      <c r="AI257" t="str">
        <v>February</v>
      </c>
      <c r="AJ257" t="str">
        <v>2026</v>
      </c>
    </row>
    <row r="258" xml:space="preserve">
      <c r="A258">
        <v>46065</v>
      </c>
      <c r="B258" t="str">
        <v>Region 4</v>
      </c>
      <c r="C258" t="str">
        <v>Juanda Airport Surabaya</v>
      </c>
      <c r="D258" t="str">
        <v>SUB</v>
      </c>
      <c r="E258">
        <v>0.899999999999999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0.96</v>
      </c>
      <c r="M258">
        <v>0.9768</v>
      </c>
      <c r="N258">
        <v>0.9912</v>
      </c>
      <c r="O258">
        <v>1</v>
      </c>
      <c r="P258">
        <v>1</v>
      </c>
      <c r="Q258">
        <v>0.9583</v>
      </c>
      <c r="R258">
        <v>0.9</v>
      </c>
      <c r="S258">
        <v>0.9038</v>
      </c>
      <c r="U25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8">
        <v>1</v>
      </c>
      <c r="W258">
        <v>1</v>
      </c>
      <c r="X258">
        <v>1</v>
      </c>
      <c r="Y258">
        <v>0.2</v>
      </c>
      <c r="Z258">
        <v>0.988</v>
      </c>
      <c r="AA258">
        <v>1</v>
      </c>
      <c r="AB258">
        <v>0.984</v>
      </c>
      <c r="AC258">
        <v>0.919</v>
      </c>
      <c r="AD258">
        <v>1</v>
      </c>
      <c r="AE258">
        <v>1</v>
      </c>
      <c r="AF258">
        <v>0.994</v>
      </c>
      <c r="AG258">
        <v>0.5</v>
      </c>
      <c r="AH258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58" t="str">
        <v>February</v>
      </c>
      <c r="AJ258" t="str">
        <v>2026</v>
      </c>
    </row>
    <row r="259" xml:space="preserve">
      <c r="A259">
        <v>46066</v>
      </c>
      <c r="B259" t="str">
        <v>Region 4</v>
      </c>
      <c r="C259" t="str">
        <v>Juanda Airport Surabaya</v>
      </c>
      <c r="D259" t="str">
        <v>SUB</v>
      </c>
      <c r="E259">
        <v>0.899999999999999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0.96</v>
      </c>
      <c r="M259">
        <v>0.9768</v>
      </c>
      <c r="N259">
        <v>0.9912</v>
      </c>
      <c r="O259">
        <v>1</v>
      </c>
      <c r="P259">
        <v>1</v>
      </c>
      <c r="Q259">
        <v>0.9583</v>
      </c>
      <c r="R259">
        <v>0.9</v>
      </c>
      <c r="S259">
        <v>0.9038</v>
      </c>
      <c r="U25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59">
        <v>1</v>
      </c>
      <c r="W259">
        <v>1</v>
      </c>
      <c r="X259">
        <v>1</v>
      </c>
      <c r="Y259">
        <v>0.2</v>
      </c>
      <c r="Z259">
        <v>0.988</v>
      </c>
      <c r="AA259">
        <v>1</v>
      </c>
      <c r="AB259">
        <v>0.984</v>
      </c>
      <c r="AC259">
        <v>0.919</v>
      </c>
      <c r="AD259">
        <v>1</v>
      </c>
      <c r="AE259">
        <v>1</v>
      </c>
      <c r="AF259">
        <v>0.994</v>
      </c>
      <c r="AG259">
        <v>0.5</v>
      </c>
      <c r="AH259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59" t="str">
        <v>February</v>
      </c>
      <c r="AJ259" t="str">
        <v>2026</v>
      </c>
    </row>
    <row r="260" xml:space="preserve">
      <c r="A260">
        <v>46067</v>
      </c>
      <c r="B260" t="str">
        <v>Region 4</v>
      </c>
      <c r="C260" t="str">
        <v>Juanda Airport Surabaya</v>
      </c>
      <c r="D260" t="str">
        <v>SUB</v>
      </c>
      <c r="E260">
        <v>0.899999999999999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0.96</v>
      </c>
      <c r="M260">
        <v>0.9768</v>
      </c>
      <c r="N260">
        <v>0.9912</v>
      </c>
      <c r="O260">
        <v>1</v>
      </c>
      <c r="P260">
        <v>1</v>
      </c>
      <c r="Q260">
        <v>0.9583</v>
      </c>
      <c r="R260">
        <v>0.9</v>
      </c>
      <c r="S260">
        <v>0.9038</v>
      </c>
      <c r="U26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0">
        <v>1</v>
      </c>
      <c r="W260">
        <v>1</v>
      </c>
      <c r="X260">
        <v>1</v>
      </c>
      <c r="Y260">
        <v>0.2</v>
      </c>
      <c r="Z260">
        <v>0.988</v>
      </c>
      <c r="AA260">
        <v>1</v>
      </c>
      <c r="AB260">
        <v>0.984</v>
      </c>
      <c r="AC260">
        <v>0.919</v>
      </c>
      <c r="AD260">
        <v>1</v>
      </c>
      <c r="AE260">
        <v>1</v>
      </c>
      <c r="AF260">
        <v>0.994</v>
      </c>
      <c r="AG260">
        <v>0.5</v>
      </c>
      <c r="AH260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0" t="str">
        <v>February</v>
      </c>
      <c r="AJ260" t="str">
        <v>2026</v>
      </c>
    </row>
    <row r="261" xml:space="preserve">
      <c r="A261">
        <v>46068</v>
      </c>
      <c r="B261" t="str">
        <v>Region 4</v>
      </c>
      <c r="C261" t="str">
        <v>Juanda Airport Surabaya</v>
      </c>
      <c r="D261" t="str">
        <v>SUB</v>
      </c>
      <c r="E261">
        <v>0.899999999999999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0.96</v>
      </c>
      <c r="M261">
        <v>0.9768</v>
      </c>
      <c r="N261">
        <v>0.9912</v>
      </c>
      <c r="O261">
        <v>1</v>
      </c>
      <c r="P261">
        <v>1</v>
      </c>
      <c r="Q261">
        <v>0.9583</v>
      </c>
      <c r="R261">
        <v>0.9</v>
      </c>
      <c r="S261">
        <v>0.9038</v>
      </c>
      <c r="U26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1">
        <v>1</v>
      </c>
      <c r="W261">
        <v>1</v>
      </c>
      <c r="X261">
        <v>1</v>
      </c>
      <c r="Y261">
        <v>0</v>
      </c>
      <c r="Z261">
        <v>0.988</v>
      </c>
      <c r="AA261">
        <v>1</v>
      </c>
      <c r="AB261">
        <v>0.984</v>
      </c>
      <c r="AC261">
        <v>0.919</v>
      </c>
      <c r="AD261">
        <v>1</v>
      </c>
      <c r="AE261">
        <v>1</v>
      </c>
      <c r="AF261">
        <v>0.994</v>
      </c>
      <c r="AG261">
        <v>0.5</v>
      </c>
      <c r="AH261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1" t="str">
        <v>February</v>
      </c>
      <c r="AJ261" t="str">
        <v>2026</v>
      </c>
    </row>
    <row r="262" xml:space="preserve">
      <c r="A262">
        <v>46069</v>
      </c>
      <c r="B262" t="str">
        <v>Region 4</v>
      </c>
      <c r="C262" t="str">
        <v>Juanda Airport Surabaya</v>
      </c>
      <c r="D262" t="str">
        <v>SUB</v>
      </c>
      <c r="E262">
        <v>0.899999999999999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0.96</v>
      </c>
      <c r="M262">
        <v>0.9768</v>
      </c>
      <c r="N262">
        <v>0.9912</v>
      </c>
      <c r="O262">
        <v>1</v>
      </c>
      <c r="P262">
        <v>1</v>
      </c>
      <c r="Q262">
        <v>0.9583</v>
      </c>
      <c r="R262">
        <v>0.9</v>
      </c>
      <c r="S262">
        <v>0.9038</v>
      </c>
      <c r="U26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2">
        <v>1</v>
      </c>
      <c r="W262">
        <v>1</v>
      </c>
      <c r="X262">
        <v>1</v>
      </c>
      <c r="Y262">
        <v>0</v>
      </c>
      <c r="Z262">
        <v>0.988</v>
      </c>
      <c r="AA262">
        <v>1</v>
      </c>
      <c r="AB262">
        <v>0.984</v>
      </c>
      <c r="AC262">
        <v>0.919</v>
      </c>
      <c r="AD262">
        <v>1</v>
      </c>
      <c r="AE262">
        <v>1</v>
      </c>
      <c r="AF262">
        <v>0.994</v>
      </c>
      <c r="AG262">
        <v>0.5</v>
      </c>
      <c r="AH262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2" t="str">
        <v>February</v>
      </c>
      <c r="AJ262" t="str">
        <v>2026</v>
      </c>
    </row>
    <row r="263" xml:space="preserve">
      <c r="A263">
        <v>46070</v>
      </c>
      <c r="B263" t="str">
        <v>Region 4</v>
      </c>
      <c r="C263" t="str">
        <v>Juanda Airport Surabaya</v>
      </c>
      <c r="D263" t="str">
        <v>SUB</v>
      </c>
      <c r="E263">
        <v>0.899999999999999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0.96</v>
      </c>
      <c r="M263">
        <v>0.9768</v>
      </c>
      <c r="N263">
        <v>0.9912</v>
      </c>
      <c r="O263">
        <v>1</v>
      </c>
      <c r="P263">
        <v>1</v>
      </c>
      <c r="Q263">
        <v>0.9583</v>
      </c>
      <c r="R263">
        <v>0.9</v>
      </c>
      <c r="S263">
        <v>0.9038</v>
      </c>
      <c r="U26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3">
        <v>1</v>
      </c>
      <c r="W263">
        <v>1</v>
      </c>
      <c r="X263">
        <v>1</v>
      </c>
      <c r="Y263">
        <v>0</v>
      </c>
      <c r="Z263">
        <v>0.988</v>
      </c>
      <c r="AA263">
        <v>1</v>
      </c>
      <c r="AB263">
        <v>0.984</v>
      </c>
      <c r="AC263">
        <v>0.919</v>
      </c>
      <c r="AD263">
        <v>1</v>
      </c>
      <c r="AE263">
        <v>1</v>
      </c>
      <c r="AF263">
        <v>0.994</v>
      </c>
      <c r="AG263">
        <v>0.5</v>
      </c>
      <c r="AH263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3" t="str">
        <v>February</v>
      </c>
      <c r="AJ263" t="str">
        <v>2026</v>
      </c>
    </row>
    <row r="264" xml:space="preserve">
      <c r="A264">
        <v>46071</v>
      </c>
      <c r="B264" t="str">
        <v>Region 4</v>
      </c>
      <c r="C264" t="str">
        <v>Juanda Airport Surabaya</v>
      </c>
      <c r="D264" t="str">
        <v>SUB</v>
      </c>
      <c r="E264">
        <v>0.899999999999999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0.96</v>
      </c>
      <c r="M264">
        <v>0.9768</v>
      </c>
      <c r="N264">
        <v>0.9912</v>
      </c>
      <c r="O264">
        <v>1</v>
      </c>
      <c r="P264">
        <v>1</v>
      </c>
      <c r="Q264">
        <v>0.9583</v>
      </c>
      <c r="R264">
        <v>0.9</v>
      </c>
      <c r="S264">
        <v>0.9038</v>
      </c>
      <c r="U26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4">
        <v>1</v>
      </c>
      <c r="W264">
        <v>1</v>
      </c>
      <c r="X264">
        <v>1</v>
      </c>
      <c r="Y264">
        <v>0.2</v>
      </c>
      <c r="Z264">
        <v>0.988</v>
      </c>
      <c r="AA264">
        <v>1</v>
      </c>
      <c r="AB264">
        <v>0.984</v>
      </c>
      <c r="AC264">
        <v>0.919</v>
      </c>
      <c r="AD264">
        <v>1</v>
      </c>
      <c r="AE264">
        <v>1</v>
      </c>
      <c r="AF264">
        <v>0.994</v>
      </c>
      <c r="AG264">
        <v>0.5</v>
      </c>
      <c r="AH264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4" t="str">
        <v>February</v>
      </c>
      <c r="AJ264" t="str">
        <v>2026</v>
      </c>
    </row>
    <row r="265" xml:space="preserve">
      <c r="A265">
        <v>46072</v>
      </c>
      <c r="B265" t="str">
        <v>Region 4</v>
      </c>
      <c r="C265" t="str">
        <v>Juanda Airport Surabaya</v>
      </c>
      <c r="D265" t="str">
        <v>SUB</v>
      </c>
      <c r="E265">
        <v>0.899999999999999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0.96</v>
      </c>
      <c r="M265">
        <v>0.9768</v>
      </c>
      <c r="N265">
        <v>0.9912</v>
      </c>
      <c r="O265">
        <v>1</v>
      </c>
      <c r="P265">
        <v>1</v>
      </c>
      <c r="Q265">
        <v>0.9583</v>
      </c>
      <c r="R265">
        <v>0.9</v>
      </c>
      <c r="S265">
        <v>0.9038</v>
      </c>
      <c r="U26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5">
        <v>1</v>
      </c>
      <c r="W265">
        <v>1</v>
      </c>
      <c r="X265">
        <v>1</v>
      </c>
      <c r="Y265">
        <v>0.2</v>
      </c>
      <c r="Z265">
        <v>0.988</v>
      </c>
      <c r="AA265">
        <v>1</v>
      </c>
      <c r="AB265">
        <v>0.984</v>
      </c>
      <c r="AC265">
        <v>0.919</v>
      </c>
      <c r="AD265">
        <v>1</v>
      </c>
      <c r="AE265">
        <v>1</v>
      </c>
      <c r="AF265">
        <v>0.994</v>
      </c>
      <c r="AG265">
        <v>0.5</v>
      </c>
      <c r="AH265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2 titik access door bermasalah. 1 titik access door T2 yaitu access door gate 3 terdapat kerusakan pada dropbolt karena terkena tetesan air dari plafon. 1 titik access door T1 yaitu finger reader airside cek in 26._x000d_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5" t="str">
        <v>February</v>
      </c>
      <c r="AJ265" t="str">
        <v>2026</v>
      </c>
    </row>
    <row r="266" xml:space="preserve">
      <c r="A266">
        <v>46073</v>
      </c>
      <c r="B266" t="str">
        <v>Region 4</v>
      </c>
      <c r="C266" t="str">
        <v>Juanda Airport Surabaya</v>
      </c>
      <c r="D266" t="str">
        <v>SUB</v>
      </c>
      <c r="E266">
        <v>0.899999999999999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0.96</v>
      </c>
      <c r="M266">
        <v>0.9768</v>
      </c>
      <c r="N266">
        <v>0.9912</v>
      </c>
      <c r="O266">
        <v>1</v>
      </c>
      <c r="P266">
        <v>1</v>
      </c>
      <c r="Q266">
        <v>0.9583</v>
      </c>
      <c r="R266">
        <v>0.9</v>
      </c>
      <c r="S266">
        <v>0.9038</v>
      </c>
      <c r="U26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6">
        <v>1</v>
      </c>
      <c r="W266">
        <v>1</v>
      </c>
      <c r="X266">
        <v>1</v>
      </c>
      <c r="Y266">
        <v>0.2</v>
      </c>
      <c r="Z266">
        <v>0.988</v>
      </c>
      <c r="AA266">
        <v>1</v>
      </c>
      <c r="AB266">
        <v>0.964</v>
      </c>
      <c r="AC266">
        <v>0.919</v>
      </c>
      <c r="AD266">
        <v>1</v>
      </c>
      <c r="AE266">
        <v>1</v>
      </c>
      <c r="AF266">
        <v>0.994</v>
      </c>
      <c r="AG266">
        <v>0.5</v>
      </c>
      <c r="AH266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5 titik access door bermasalah. 4 titik access door T2 yaitu access door gate 3 dan Avio D terdapat kerusakan pada dropbolt karena terkena tetesan air dari plafon. Corridor Office 1 dan Avio E terdampak revitalisasi. 1 titik access door T1 yaitu finger reader pintu airside cek in 26 rusak._x000d_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6" t="str">
        <v>February</v>
      </c>
      <c r="AJ266" t="str">
        <v>2026</v>
      </c>
    </row>
    <row r="267" xml:space="preserve">
      <c r="A267">
        <v>46074</v>
      </c>
      <c r="B267" t="str">
        <v>Region 4</v>
      </c>
      <c r="C267" t="str">
        <v>Juanda Airport Surabaya</v>
      </c>
      <c r="D267" t="str">
        <v>SUB</v>
      </c>
      <c r="E267">
        <v>0.899999999999999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0.96</v>
      </c>
      <c r="M267">
        <v>0.9768</v>
      </c>
      <c r="N267">
        <v>0.9912</v>
      </c>
      <c r="O267">
        <v>1</v>
      </c>
      <c r="P267">
        <v>1</v>
      </c>
      <c r="Q267">
        <v>0.9583</v>
      </c>
      <c r="R267">
        <v>0.9</v>
      </c>
      <c r="S267">
        <v>0.9038</v>
      </c>
      <c r="U26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7">
        <v>1</v>
      </c>
      <c r="W267">
        <v>1</v>
      </c>
      <c r="X267">
        <v>1</v>
      </c>
      <c r="Y267">
        <v>0.2</v>
      </c>
      <c r="Z267">
        <v>0.988</v>
      </c>
      <c r="AA267">
        <v>1</v>
      </c>
      <c r="AB267">
        <v>0.964</v>
      </c>
      <c r="AC267">
        <v>0.919</v>
      </c>
      <c r="AD267">
        <v>1</v>
      </c>
      <c r="AE267">
        <v>1</v>
      </c>
      <c r="AF267">
        <v>0.994</v>
      </c>
      <c r="AG267">
        <v>0.5</v>
      </c>
      <c r="AH267" t="str" xml:space="preserve">
        <v xml:space="preserve">1. Terdapat kerusakan kamera pada area landside. perimeter dan terminal. Saat ini dilakukan proses perbaikan secara bertahap setelah pengadaan barang melalui PADI UMKM._x000d_
2. Access Switch industrial CCTV outdoor 9 unit. 1 unit access switch gd arsip. dan 1 unit access switch ruang sales AOB dalam kondisi rusak. _x000d_
3. Terdapat 5 titik access door bermasalah. 4 titik access door T2 yaitu access door gate 3 dan Avio D terdapat kerusakan pada dropbolt karena terkena tetesan air dari plafon. Corridor Office 1 dan Avio E terdampak revitalisasi. 1 titik access door T1 yaitu finger reader pintu airside cek in 26 rusak._x000d_
4. Terjadi kerusakan 1 jalur flap barrier T2 karena terdapat dioda yg terbakar pd board mesin flap dan 1 jalur flap barrier di T1 dikarenakan kerusakan pada motor penggerak._x000d_
5. Sesuai KM.39 Thn.2024 utk standar peralatan ETD di Bandara Juanda adalah 5 unit, yang dimiliki ada 1 unit normal. Dan di tahun 2025/2026 ada investasi pengadaan ETD sebanyak 4 unit._x000d_
6. Kerusakan flash memori pada sound card peralatan Bird Deterrent._x000d_
</v>
      </c>
      <c r="AI267" t="str">
        <v>February</v>
      </c>
      <c r="AJ267" t="str">
        <v>2026</v>
      </c>
    </row>
    <row r="268" xml:space="preserve">
      <c r="A268">
        <v>46075</v>
      </c>
      <c r="B268" t="str">
        <v>Region 4</v>
      </c>
      <c r="C268" t="str">
        <v>Juanda Airport Surabaya</v>
      </c>
      <c r="D268" t="str">
        <v>SUB</v>
      </c>
      <c r="E268">
        <v>0.899999999999999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0.96</v>
      </c>
      <c r="M268">
        <v>0.9768</v>
      </c>
      <c r="N268">
        <v>0.9912</v>
      </c>
      <c r="O268">
        <v>1</v>
      </c>
      <c r="P268">
        <v>1</v>
      </c>
      <c r="Q268">
        <v>0.9583</v>
      </c>
      <c r="R268">
        <v>0.9</v>
      </c>
      <c r="S268">
        <v>0.9038</v>
      </c>
      <c r="U26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8">
        <v>1</v>
      </c>
      <c r="W268">
        <v>1</v>
      </c>
      <c r="X268">
        <v>1</v>
      </c>
      <c r="Y268">
        <v>0.2</v>
      </c>
      <c r="Z268">
        <v>0.988</v>
      </c>
      <c r="AA268">
        <v>1</v>
      </c>
      <c r="AB268">
        <v>0.964</v>
      </c>
      <c r="AC268">
        <v>0.919</v>
      </c>
      <c r="AD268">
        <v>1</v>
      </c>
      <c r="AE268">
        <v>1</v>
      </c>
      <c r="AF268">
        <v>0.994</v>
      </c>
      <c r="AG268">
        <v>0.5</v>
      </c>
      <c r="AH268" t="str" xml:space="preserve">
        <v xml:space="preserve">1. Terdapat kerusakan kamera CCTV pada area landside. perimeter dan terminal. Saat ini dilakukan proses perbaikan secara bertahap setelah pengadaan barang melalui PADI UMKM._x000d_
2. Terdapat 2 titik access door bermasalah di T2 yaitu access door gate 3 dan Avio D, dalam proses pekerjaan penggantian._x000d_
3. Sesuai KM.39 Thn.2024 utk standar peralatan ETD di Bandara Juanda adalah 5 unit, yang dimiliki ada 1 unit normal. Dan di tahun 2025/2026 ada investasi pengadaan ETD sebanyak 4 unit._x000d_
4. Kerusakan flash memori pada sound card peralatan Bird Deterrent._x000d_
</v>
      </c>
      <c r="AI268" t="str">
        <v>February</v>
      </c>
      <c r="AJ268" t="str">
        <v>2026</v>
      </c>
    </row>
    <row r="269" xml:space="preserve">
      <c r="A269">
        <v>46076</v>
      </c>
      <c r="B269" t="str">
        <v>Region 4</v>
      </c>
      <c r="C269" t="str">
        <v>Juanda Airport Surabaya</v>
      </c>
      <c r="D269" t="str">
        <v>SUB</v>
      </c>
      <c r="E269">
        <v>0.899999999999999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0.96</v>
      </c>
      <c r="M269">
        <v>0.9768</v>
      </c>
      <c r="N269">
        <v>0.9912</v>
      </c>
      <c r="O269">
        <v>1</v>
      </c>
      <c r="P269">
        <v>1</v>
      </c>
      <c r="Q269">
        <v>0.9583</v>
      </c>
      <c r="R269">
        <v>0.9</v>
      </c>
      <c r="S269">
        <v>0.9038</v>
      </c>
      <c r="U26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69">
        <v>1</v>
      </c>
      <c r="W269">
        <v>1</v>
      </c>
      <c r="X269">
        <v>1</v>
      </c>
      <c r="Y269">
        <v>0.2</v>
      </c>
      <c r="Z269">
        <v>0.988</v>
      </c>
      <c r="AA269">
        <v>1</v>
      </c>
      <c r="AB269">
        <v>0.964</v>
      </c>
      <c r="AC269">
        <v>0.919</v>
      </c>
      <c r="AD269">
        <v>1</v>
      </c>
      <c r="AE269">
        <v>1</v>
      </c>
      <c r="AF269">
        <v>0.994</v>
      </c>
      <c r="AG269">
        <v>0.5</v>
      </c>
      <c r="AH269" t="str" xml:space="preserve">
        <v xml:space="preserve">1. Terdapat kerusakan kamera CCTV pada area landside. perimeter dan terminal. Saat ini dilakukan proses perbaikan secara bertahap setelah pengadaan barang melalui PADI UMKM._x000d_
2. Terdapat 2 titik access door bermasalah di T2 yaitu access door gate 3 dan Avio D, dalam proses pekerjaan penggantian._x000d_
3. Sesuai KM.39 Thn.2024 utk standar peralatan ETD di Bandara Juanda adalah 5 unit, yang dimiliki ada 1 unit normal. Dan di tahun 2025/2026 ada investasi pengadaan ETD sebanyak 4 unit._x000d_
4. Kerusakan flash memori pada sound card peralatan Bird Deterrent._x000d_
</v>
      </c>
      <c r="AI269" t="str">
        <v>February</v>
      </c>
      <c r="AJ269" t="str">
        <v>2026</v>
      </c>
    </row>
    <row r="270" xml:space="preserve">
      <c r="A270">
        <v>46077</v>
      </c>
      <c r="B270" t="str">
        <v>Region 4</v>
      </c>
      <c r="C270" t="str">
        <v>Juanda Airport Surabaya</v>
      </c>
      <c r="D270" t="str">
        <v>SUB</v>
      </c>
      <c r="E270">
        <v>0.899999999999999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0.96</v>
      </c>
      <c r="M270">
        <v>0.9768</v>
      </c>
      <c r="N270">
        <v>0.9912</v>
      </c>
      <c r="O270">
        <v>1</v>
      </c>
      <c r="P270">
        <v>1</v>
      </c>
      <c r="Q270">
        <v>0.9583</v>
      </c>
      <c r="R270">
        <v>0.9</v>
      </c>
      <c r="S270">
        <v>0.9038</v>
      </c>
      <c r="U27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0">
        <v>1</v>
      </c>
      <c r="W270">
        <v>1</v>
      </c>
      <c r="X270">
        <v>1</v>
      </c>
      <c r="Y270">
        <v>0.2</v>
      </c>
      <c r="Z270">
        <v>0.988</v>
      </c>
      <c r="AA270">
        <v>1</v>
      </c>
      <c r="AB270">
        <v>0.964</v>
      </c>
      <c r="AC270">
        <v>0.919</v>
      </c>
      <c r="AD270">
        <v>1</v>
      </c>
      <c r="AE270">
        <v>1</v>
      </c>
      <c r="AF270">
        <v>0.994</v>
      </c>
      <c r="AG270">
        <v>0.5</v>
      </c>
      <c r="AH270" t="str" xml:space="preserve">
        <v xml:space="preserve">1. Terdapat kerusakan kamera CCTV pada area landside. perimeter dan terminal. Saat ini dilakukan proses perbaikan secara bertahap setelah pengadaan barang melalui PADI UMKM._x000d_
2. Terdapat 2 titik access door bermasalah di T2 yaitu access door gate 3 dan Avio D, dalam proses pekerjaan penggantian._x000d_
3. Sesuai KM.39 Thn.2024 utk standar peralatan ETD di Bandara Juanda adalah 5 unit, yang dimiliki ada 1 unit normal. Dan di tahun 2025/2026 ada investasi pengadaan ETD sebanyak 4 unit._x000d_
4. Kerusakan flash memori pada sound card peralatan Bird Deterrent._x000d_
</v>
      </c>
      <c r="AI270" t="str">
        <v>February</v>
      </c>
      <c r="AJ270" t="str">
        <v>2026</v>
      </c>
    </row>
    <row r="271" xml:space="preserve">
      <c r="A271">
        <v>46078</v>
      </c>
      <c r="B271" t="str">
        <v>Region 4</v>
      </c>
      <c r="C271" t="str">
        <v>Juanda Airport Surabaya</v>
      </c>
      <c r="D271" t="str">
        <v>SUB</v>
      </c>
      <c r="E271">
        <v>0.899999999999999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0.96</v>
      </c>
      <c r="M271">
        <v>0.9768</v>
      </c>
      <c r="N271">
        <v>0.9912</v>
      </c>
      <c r="O271">
        <v>1</v>
      </c>
      <c r="P271">
        <v>1</v>
      </c>
      <c r="Q271">
        <v>0.9583</v>
      </c>
      <c r="R271">
        <v>0.9</v>
      </c>
      <c r="S271">
        <v>0.9038</v>
      </c>
      <c r="U27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1">
        <v>1</v>
      </c>
      <c r="W271">
        <v>1</v>
      </c>
      <c r="X271">
        <v>1</v>
      </c>
      <c r="Y271">
        <v>0.2</v>
      </c>
      <c r="Z271">
        <v>0.988</v>
      </c>
      <c r="AA271">
        <v>1</v>
      </c>
      <c r="AB271">
        <v>0.964</v>
      </c>
      <c r="AC271">
        <v>0.919</v>
      </c>
      <c r="AD271">
        <v>1</v>
      </c>
      <c r="AE271">
        <v>1</v>
      </c>
      <c r="AF271">
        <v>0.994</v>
      </c>
      <c r="AG271">
        <v>0.5</v>
      </c>
      <c r="AH271" t="str" xml:space="preserve">
        <v xml:space="preserve">1. Terdapat kerusakan kamera CCTV pada area landside. perimeter dan terminal. Saat ini dilakukan proses perbaikan secara bertahap setelah pengadaan barang melalui PADI UMKM._x000d_
2. Terdapat 2 titik access door bermasalah di T2 yaitu access door gate 3 dan Avio D, dalam proses pekerjaan penggantian._x000d_
3. Sesuai KM.39 Thn.2024 utk standar peralatan ETD di Bandara Juanda adalah 5 unit, yang dimiliki ada 1 unit normal. Dan di tahun 2025/2026 ada investasi pengadaan ETD sebanyak 4 unit._x000d_
4. Kerusakan flash memori pada sound card peralatan Bird Deterrent._x000d_
</v>
      </c>
      <c r="AI271" t="str">
        <v>February</v>
      </c>
      <c r="AJ271" t="str">
        <v>2026</v>
      </c>
    </row>
    <row r="272" xml:space="preserve">
      <c r="A272">
        <v>46079</v>
      </c>
      <c r="B272" t="str">
        <v>Region 4</v>
      </c>
      <c r="C272" t="str">
        <v>Juanda Airport Surabaya</v>
      </c>
      <c r="D272" t="str">
        <v>SUB</v>
      </c>
      <c r="E272">
        <v>0.899999999999999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0.96</v>
      </c>
      <c r="M272">
        <v>0.9768</v>
      </c>
      <c r="N272">
        <v>0.9912</v>
      </c>
      <c r="O272">
        <v>1</v>
      </c>
      <c r="P272">
        <v>1</v>
      </c>
      <c r="Q272">
        <v>0.9583</v>
      </c>
      <c r="R272">
        <v>0.9</v>
      </c>
      <c r="S272">
        <v>0.9038</v>
      </c>
      <c r="U27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2">
        <v>1</v>
      </c>
      <c r="W272">
        <v>1</v>
      </c>
      <c r="X272">
        <v>1</v>
      </c>
      <c r="Y272">
        <v>0.2</v>
      </c>
      <c r="Z272">
        <v>0.988</v>
      </c>
      <c r="AA272">
        <v>1</v>
      </c>
      <c r="AB272">
        <v>0.964</v>
      </c>
      <c r="AC272">
        <v>0.919</v>
      </c>
      <c r="AD272">
        <v>1</v>
      </c>
      <c r="AE272">
        <v>1</v>
      </c>
      <c r="AF272">
        <v>0.994</v>
      </c>
      <c r="AG272">
        <v>0.5</v>
      </c>
      <c r="AH272" t="str" xml:space="preserve">
        <v xml:space="preserve">1. Terdapat kerusakan kamera CCTV pada area landside. perimeter dan terminal. Saat ini dilakukan proses perbaikan secara bertahap setelah pengadaan barang melalui PADI UMKM._x000d_
2. Terdapat 2 titik access door bermasalah di T2 yaitu access door gate 3 dan Avio D, dalam proses pekerjaan penggantian._x000d_
3. Sesuai KM.39 Thn.2024 utk standar peralatan ETD di Bandara Juanda adalah 5 unit, yang dimiliki ada 1 unit normal. Dan di tahun 2025/2026 ada investasi pengadaan ETD sebanyak 4 unit._x000d_
4. Kerusakan flash memori pada sound card peralatan Bird Deterrent._x000d_
</v>
      </c>
      <c r="AI272" t="str">
        <v>February</v>
      </c>
      <c r="AJ272" t="str">
        <v>2026</v>
      </c>
    </row>
    <row r="273" xml:space="preserve">
      <c r="A273">
        <v>46080</v>
      </c>
      <c r="B273" t="str">
        <v>Region 4</v>
      </c>
      <c r="C273" t="str">
        <v>Juanda Airport Surabaya</v>
      </c>
      <c r="D273" t="str">
        <v>SUB</v>
      </c>
      <c r="E273">
        <v>0.899999999999999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0.96</v>
      </c>
      <c r="M273">
        <v>0.9768</v>
      </c>
      <c r="N273">
        <v>0.9912</v>
      </c>
      <c r="O273">
        <v>1</v>
      </c>
      <c r="P273">
        <v>1</v>
      </c>
      <c r="Q273">
        <v>0.9583</v>
      </c>
      <c r="R273">
        <v>0.9</v>
      </c>
      <c r="S273">
        <v>0.9038</v>
      </c>
      <c r="U27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3">
        <v>1</v>
      </c>
      <c r="W273">
        <v>1</v>
      </c>
      <c r="X273">
        <v>1</v>
      </c>
      <c r="Y273">
        <v>0.2</v>
      </c>
      <c r="Z273">
        <v>0.988</v>
      </c>
      <c r="AA273">
        <v>1</v>
      </c>
      <c r="AB273">
        <v>0.964</v>
      </c>
      <c r="AC273">
        <v>0.919</v>
      </c>
      <c r="AD273">
        <v>1</v>
      </c>
      <c r="AE273">
        <v>1</v>
      </c>
      <c r="AF273">
        <v>0.994</v>
      </c>
      <c r="AG273">
        <v>0.5</v>
      </c>
      <c r="AH273" t="str" xml:space="preserve">
        <v xml:space="preserve">1. Terdapat kerusakan kamera CCTV pada area landside. perimeter dan terminal. Saat ini dilakukan proses perbaikan secara bertahap setelah pengadaan barang melalui PADI UMKM._x000d_
2. Terdapat 2 titik access door bermasalah di T2 yaitu access door gate 3 dan Avio D, dalam proses pekerjaan penggantian._x000d_
3. Sesuai KM.39 Thn.2024 utk standar peralatan ETD di Bandara Juanda adalah 5 unit, yang dimiliki ada 1 unit normal. Dan di tahun 2025/2026 ada investasi pengadaan ETD sebanyak 4 unit._x000d_
4. Kerusakan flash memori pada sound card peralatan Bird Deterrent._x000d_
</v>
      </c>
      <c r="AI273" t="str">
        <v>February</v>
      </c>
      <c r="AJ273" t="str">
        <v>2026</v>
      </c>
    </row>
    <row r="274" xml:space="preserve">
      <c r="A274">
        <v>46081</v>
      </c>
      <c r="B274" t="str">
        <v>Region 4</v>
      </c>
      <c r="C274" t="str">
        <v>Juanda Airport Surabaya</v>
      </c>
      <c r="D274" t="str">
        <v>SUB</v>
      </c>
      <c r="E274">
        <v>0.899999999999999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0.96</v>
      </c>
      <c r="M274">
        <v>0.9768</v>
      </c>
      <c r="N274">
        <v>0.9912</v>
      </c>
      <c r="O274">
        <v>1</v>
      </c>
      <c r="P274">
        <v>1</v>
      </c>
      <c r="Q274">
        <v>0.9583</v>
      </c>
      <c r="R274">
        <v>0.9</v>
      </c>
      <c r="S274">
        <v>0.9038</v>
      </c>
      <c r="U274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4">
        <v>1</v>
      </c>
      <c r="W274">
        <v>1</v>
      </c>
      <c r="X274">
        <v>1</v>
      </c>
      <c r="Y274">
        <v>0.2</v>
      </c>
      <c r="Z274">
        <v>0.988</v>
      </c>
      <c r="AA274">
        <v>1</v>
      </c>
      <c r="AB274">
        <v>0.984</v>
      </c>
      <c r="AC274">
        <v>0.919</v>
      </c>
      <c r="AD274">
        <v>1</v>
      </c>
      <c r="AE274">
        <v>1</v>
      </c>
      <c r="AF274">
        <v>0.994</v>
      </c>
      <c r="AG274">
        <v>0.5</v>
      </c>
      <c r="AH274" t="str" xml:space="preserve">
        <v xml:space="preserve">1. Terdapat kerusakan kamera CCTV pada area landside. perimeter dan terminal.     _x000d_
    Saat ini dilakukan proses perbaikan secara bertahap._x000d_
2. Terdapat 1 titik access door bermasalah di T2 yaitu access door Avio E, dalam _x000d_
    proses pekerjaan perbaikan._x000d_
3. Sesuai KM.39 Thn.2024 utk standar peralatan ETD di Bandara Juanda_x000d_
    adalah 5 unit, yang dimiliki ada 1 unit normal. Dan di tahun 2025/2026 ada _x000d_
    investasi pengadaan ETD sebanyak 4 unit._x000d_
4. Kerusakan flash memori pada sound card peralatan Bird Deterrent._x000d_
</v>
      </c>
      <c r="AI274" t="str">
        <v>February</v>
      </c>
      <c r="AJ274" t="str">
        <v>2026</v>
      </c>
    </row>
    <row r="275" xml:space="preserve">
      <c r="A275">
        <v>46082</v>
      </c>
      <c r="B275" t="str">
        <v>Region 4</v>
      </c>
      <c r="C275" t="str">
        <v>Juanda Airport Surabaya</v>
      </c>
      <c r="D275" t="str">
        <v>SUB</v>
      </c>
      <c r="E275">
        <v>0.899999999999999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0.96</v>
      </c>
      <c r="L275">
        <f>AVERAGE(F275:K275)</f>
        <v>0.9933333333333333</v>
      </c>
      <c r="M275">
        <v>0.9768</v>
      </c>
      <c r="N275">
        <v>0.9912</v>
      </c>
      <c r="O275">
        <v>1</v>
      </c>
      <c r="P275">
        <v>1</v>
      </c>
      <c r="Q275">
        <v>0.9583</v>
      </c>
      <c r="R275">
        <v>0.9</v>
      </c>
      <c r="S275">
        <v>0.9038</v>
      </c>
      <c r="U275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5">
        <v>1</v>
      </c>
      <c r="W275">
        <v>1</v>
      </c>
      <c r="X275">
        <v>1</v>
      </c>
      <c r="Y275">
        <v>0.2</v>
      </c>
      <c r="Z275">
        <v>0.988</v>
      </c>
      <c r="AA275">
        <v>1</v>
      </c>
      <c r="AB275">
        <v>0.984</v>
      </c>
      <c r="AC275">
        <v>0.919</v>
      </c>
      <c r="AD275">
        <v>1</v>
      </c>
      <c r="AE275">
        <v>1</v>
      </c>
      <c r="AF275">
        <v>0.994</v>
      </c>
      <c r="AG275">
        <v>0.5</v>
      </c>
      <c r="AH275" t="str" xml:space="preserve">
        <v xml:space="preserve">1. Terdapat kerusakan kamera CCTV pada area landside. perimeter dan terminal.     _x000d_
    Saat ini dilakukan proses perbaikan secara bertahap._x000d_
2. Terdapat 1 titik access door bermasalah di T2 yaitu access door Avio E, dalam _x000d_
    proses pekerjaan perbaikan._x000d_
3. Sesuai KM.39 Thn.2024 utk standar peralatan ETD di Bandara Juanda_x000d_
    adalah 5 unit, yang dimiliki ada 1 unit normal. Dan di tahun 2025/2026 ada _x000d_
    investasi pengadaan ETD sebanyak 4 unit._x000d_
4. Kerusakan flash memori pada sound card peralatan Bird Deterrent._x000d_
</v>
      </c>
      <c r="AI275" t="str">
        <v>March</v>
      </c>
      <c r="AJ275" t="str">
        <v>2026</v>
      </c>
    </row>
    <row r="276" xml:space="preserve">
      <c r="A276">
        <v>46083</v>
      </c>
      <c r="B276" t="str">
        <v>Region 4</v>
      </c>
      <c r="C276" t="str">
        <v>Juanda Airport Surabaya</v>
      </c>
      <c r="D276" t="str">
        <v>SUB</v>
      </c>
      <c r="E276">
        <v>0.899999999999999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0.96</v>
      </c>
      <c r="M276">
        <v>0.9768</v>
      </c>
      <c r="N276">
        <v>0.9912</v>
      </c>
      <c r="O276">
        <v>1</v>
      </c>
      <c r="P276">
        <v>1</v>
      </c>
      <c r="Q276">
        <v>0.9583</v>
      </c>
      <c r="R276">
        <v>0.9</v>
      </c>
      <c r="S276">
        <v>0.9038</v>
      </c>
      <c r="U276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6">
        <v>1</v>
      </c>
      <c r="W276">
        <v>1</v>
      </c>
      <c r="X276">
        <v>1</v>
      </c>
      <c r="Y276">
        <v>0.2</v>
      </c>
      <c r="Z276">
        <v>0.988</v>
      </c>
      <c r="AA276">
        <v>1</v>
      </c>
      <c r="AB276">
        <v>0.984</v>
      </c>
      <c r="AC276">
        <v>0.919</v>
      </c>
      <c r="AD276">
        <v>1</v>
      </c>
      <c r="AE276">
        <v>1</v>
      </c>
      <c r="AF276">
        <v>0.994</v>
      </c>
      <c r="AG276">
        <v>0.5</v>
      </c>
      <c r="AH276" t="str" xml:space="preserve">
        <v xml:space="preserve">1. Terdapat kerusakan kamera CCTV pada area landside. perimeter dan terminal.     _x000d_
    Saat ini dilakukan proses perbaikan secara bertahap._x000d_
2. Terdapat 1 titik access door bermasalah di T2 yaitu access door Avio E, dalam _x000d_
    proses pekerjaan perbaikan._x000d_
3. Sesuai KM.39 Thn.2024 utk standar peralatan ETD di Bandara Juanda_x000d_
    adalah 5 unit, yang dimiliki ada 1 unit normal. Dan di tahun 2025/2026 ada _x000d_
    investasi pengadaan ETD sebanyak 4 unit._x000d_
4. Kerusakan flash memori pada sound card peralatan Bird Deterrent._x000d_
</v>
      </c>
      <c r="AI276" t="str">
        <v>March</v>
      </c>
      <c r="AJ276" t="str">
        <v>2026</v>
      </c>
    </row>
    <row r="277" xml:space="preserve">
      <c r="A277">
        <v>46084</v>
      </c>
      <c r="B277" t="str">
        <v>Region 4</v>
      </c>
      <c r="C277" t="str">
        <v>Juanda Airport Surabaya</v>
      </c>
      <c r="D277" t="str">
        <v>SUB</v>
      </c>
      <c r="E277">
        <v>0.899999999999999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0.96</v>
      </c>
      <c r="M277">
        <v>0.9768</v>
      </c>
      <c r="N277">
        <v>0.9912</v>
      </c>
      <c r="O277">
        <v>1</v>
      </c>
      <c r="P277">
        <v>1</v>
      </c>
      <c r="Q277">
        <v>0.9583</v>
      </c>
      <c r="R277">
        <v>0.9</v>
      </c>
      <c r="S277">
        <v>0.9038</v>
      </c>
      <c r="U277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7">
        <v>1</v>
      </c>
      <c r="W277">
        <v>1</v>
      </c>
      <c r="X277">
        <v>1</v>
      </c>
      <c r="Y277">
        <v>0.2</v>
      </c>
      <c r="Z277">
        <v>0.988</v>
      </c>
      <c r="AA277">
        <v>1</v>
      </c>
      <c r="AB277">
        <v>0.984</v>
      </c>
      <c r="AC277">
        <v>0.919</v>
      </c>
      <c r="AD277">
        <v>1</v>
      </c>
      <c r="AE277">
        <v>1</v>
      </c>
      <c r="AF277">
        <v>0.994</v>
      </c>
      <c r="AG277">
        <v>0.5</v>
      </c>
      <c r="AH277" t="str" xml:space="preserve">
        <v xml:space="preserve">1. Terdapat kerusakan kamera CCTV pada area landside. perimeter dan terminal.     _x000d_
    Saat ini dilakukan proses perbaikan secara bertahap._x000d_
2. Terdapat 1 titik access door bermasalah di T2 yaitu access door Avio E, dalam _x000d_
    proses pekerjaan perbaikan._x000d_
3. Sesuai KM.39 Thn.2024 utk standar peralatan ETD di Bandara Juanda_x000d_
    adalah 5 unit, yang dimiliki ada 1 unit normal. Dan di tahun 2025/2026 ada _x000d_
    investasi pengadaan ETD sebanyak 4 unit._x000d_
4. Kerusakan flash memori pada sound card peralatan Bird Deterrent._x000d_
</v>
      </c>
      <c r="AI277" t="str">
        <v>March</v>
      </c>
      <c r="AJ277" t="str">
        <v>2026</v>
      </c>
    </row>
    <row r="278" xml:space="preserve">
      <c r="A278">
        <v>46085</v>
      </c>
      <c r="B278" t="str">
        <v>Region 4</v>
      </c>
      <c r="C278" t="str">
        <v>Juanda Airport Surabaya</v>
      </c>
      <c r="D278" t="str">
        <v>SUB</v>
      </c>
      <c r="E278">
        <v>0.899999999999999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0.96</v>
      </c>
      <c r="M278">
        <v>0.9768</v>
      </c>
      <c r="N278">
        <v>0.9912</v>
      </c>
      <c r="O278">
        <v>1</v>
      </c>
      <c r="P278">
        <v>1</v>
      </c>
      <c r="Q278">
        <v>0.9583</v>
      </c>
      <c r="R278">
        <v>0.9</v>
      </c>
      <c r="S278">
        <v>0.9038</v>
      </c>
      <c r="U278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8">
        <v>1</v>
      </c>
      <c r="W278">
        <v>1</v>
      </c>
      <c r="X278">
        <v>1</v>
      </c>
      <c r="Y278">
        <v>0.2</v>
      </c>
      <c r="Z278">
        <v>0.988</v>
      </c>
      <c r="AA278">
        <v>1</v>
      </c>
      <c r="AB278">
        <v>0.984</v>
      </c>
      <c r="AC278">
        <v>0.919</v>
      </c>
      <c r="AD278">
        <v>1</v>
      </c>
      <c r="AE278">
        <v>1</v>
      </c>
      <c r="AF278">
        <v>0.994</v>
      </c>
      <c r="AG278">
        <v>0.5</v>
      </c>
      <c r="AH278" t="str" xml:space="preserve">
        <v xml:space="preserve">1. Terdapat kerusakan kamera CCTV pada area landside. perimeter dan terminal.     _x000d_
    Saat ini dilakukan proses perbaikan secara bertahap._x000d_
2. Terdapat 1 titik access door bermasalah di T2 yaitu access door Avio E, dalam _x000d_
    proses pekerjaan perbaikan._x000d_
3. Sesuai KM.39 Thn.2024 utk standar peralatan ETD di Bandara Juanda_x000d_
    adalah 5 unit, yang dimiliki ada 1 unit normal. Dan di tahun 2025/2026 ada _x000d_
    investasi pengadaan ETD sebanyak 4 unit._x000d_
4. Kerusakan flash memori pada sound card peralatan Bird Deterrent._x000d_
</v>
      </c>
      <c r="AI278" t="str">
        <v>March</v>
      </c>
      <c r="AJ278" t="str">
        <v>2026</v>
      </c>
    </row>
    <row r="279" xml:space="preserve">
      <c r="A279">
        <v>46086</v>
      </c>
      <c r="B279" t="str">
        <v>Region 4</v>
      </c>
      <c r="C279" t="str">
        <v>Juanda Airport Surabaya</v>
      </c>
      <c r="D279" t="str">
        <v>SUB</v>
      </c>
      <c r="E279">
        <v>0.899999999999999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0.96</v>
      </c>
      <c r="M279">
        <v>0.9768</v>
      </c>
      <c r="N279">
        <v>0.9912</v>
      </c>
      <c r="O279">
        <v>1</v>
      </c>
      <c r="P279">
        <v>1</v>
      </c>
      <c r="Q279">
        <v>0.9583</v>
      </c>
      <c r="R279">
        <v>0.9</v>
      </c>
      <c r="S279">
        <v>0.9038</v>
      </c>
      <c r="U279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79">
        <v>1</v>
      </c>
      <c r="W279">
        <v>1</v>
      </c>
      <c r="X279">
        <v>1</v>
      </c>
      <c r="Y279">
        <v>0.2</v>
      </c>
      <c r="Z279">
        <v>0.988</v>
      </c>
      <c r="AA279">
        <v>1</v>
      </c>
      <c r="AB279">
        <v>0.984</v>
      </c>
      <c r="AC279">
        <v>0.919</v>
      </c>
      <c r="AD279">
        <v>1</v>
      </c>
      <c r="AE279">
        <v>1</v>
      </c>
      <c r="AF279">
        <v>0.994</v>
      </c>
      <c r="AG279">
        <v>0.5</v>
      </c>
      <c r="AH279" t="str" xml:space="preserve">
        <v xml:space="preserve">1. Terdapat kerusakan kamera CCTV pada area landside. perimeter dan terminal.     _x000d_
    Saat ini dilakukan proses perbaikan secara bertahap._x000d_
2. Terdapat 1 titik access door bermasalah di T2 yaitu access door Avio E, dalam _x000d_
    proses pekerjaan perbaikan._x000d_
3. Sesuai KM.39 Thn.2024 utk standar peralatan ETD di Bandara Juanda_x000d_
    adalah 5 unit, yang dimiliki ada 1 unit normal. Dan di tahun 2025/2026 ada _x000d_
    investasi pengadaan ETD sebanyak 4 unit._x000d_
4. Kerusakan flash memori pada sound card peralatan Bird Deterrent._x000d_
</v>
      </c>
      <c r="AI279" t="str">
        <v>March</v>
      </c>
      <c r="AJ279" t="str">
        <v>2026</v>
      </c>
    </row>
    <row r="280" xml:space="preserve">
      <c r="A280">
        <v>46087</v>
      </c>
      <c r="B280" t="str">
        <v>Region 4</v>
      </c>
      <c r="C280" t="str">
        <v>Juanda Airport Surabaya</v>
      </c>
      <c r="D280" t="str">
        <v>SUB</v>
      </c>
      <c r="E280">
        <v>0.899999999999999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0.96</v>
      </c>
      <c r="M280">
        <v>0.9768</v>
      </c>
      <c r="N280">
        <v>0.9912</v>
      </c>
      <c r="O280">
        <v>1</v>
      </c>
      <c r="P280">
        <v>1</v>
      </c>
      <c r="Q280">
        <v>0.9583</v>
      </c>
      <c r="R280">
        <v>0.9</v>
      </c>
      <c r="S280">
        <v>0.9038</v>
      </c>
      <c r="U280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80">
        <v>1</v>
      </c>
      <c r="W280">
        <v>1</v>
      </c>
      <c r="X280">
        <v>1</v>
      </c>
      <c r="Y280">
        <v>0.2</v>
      </c>
      <c r="Z280">
        <v>0.988</v>
      </c>
      <c r="AA280">
        <v>1</v>
      </c>
      <c r="AB280">
        <v>1</v>
      </c>
      <c r="AC280">
        <v>0.919</v>
      </c>
      <c r="AD280">
        <v>1</v>
      </c>
      <c r="AE280">
        <v>1</v>
      </c>
      <c r="AF280">
        <v>0.994</v>
      </c>
      <c r="AG280">
        <v>1</v>
      </c>
      <c r="AH28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0" t="str">
        <v>March</v>
      </c>
      <c r="AJ280" t="str">
        <v>2026</v>
      </c>
    </row>
    <row r="281" xml:space="preserve">
      <c r="A281">
        <v>46088</v>
      </c>
      <c r="B281" t="str">
        <v>Region 4</v>
      </c>
      <c r="C281" t="str">
        <v>Juanda Airport Surabaya</v>
      </c>
      <c r="D281" t="str">
        <v>SUB</v>
      </c>
      <c r="E281">
        <v>0.899999999999999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0.96</v>
      </c>
      <c r="M281">
        <v>0.9768</v>
      </c>
      <c r="N281">
        <v>0.9912</v>
      </c>
      <c r="O281">
        <v>1</v>
      </c>
      <c r="P281">
        <v>1</v>
      </c>
      <c r="Q281">
        <v>0.9583</v>
      </c>
      <c r="R281">
        <v>0.9</v>
      </c>
      <c r="S281">
        <v>0.9038</v>
      </c>
      <c r="U281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81">
        <v>1</v>
      </c>
      <c r="W281">
        <v>1</v>
      </c>
      <c r="X281">
        <v>1</v>
      </c>
      <c r="Y281">
        <v>0.2</v>
      </c>
      <c r="Z281">
        <v>0.988</v>
      </c>
      <c r="AA281">
        <v>1</v>
      </c>
      <c r="AB281">
        <v>1</v>
      </c>
      <c r="AC281">
        <v>0.919</v>
      </c>
      <c r="AD281">
        <v>1</v>
      </c>
      <c r="AE281">
        <v>1</v>
      </c>
      <c r="AF281">
        <v>0.994</v>
      </c>
      <c r="AG281">
        <v>1</v>
      </c>
      <c r="AH28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1" t="str">
        <v>March</v>
      </c>
      <c r="AJ281" t="str">
        <v>2026</v>
      </c>
    </row>
    <row r="282" xml:space="preserve">
      <c r="A282">
        <v>46089</v>
      </c>
      <c r="B282" t="str">
        <v>Region 4</v>
      </c>
      <c r="C282" t="str">
        <v>Juanda Airport Surabaya</v>
      </c>
      <c r="D282" t="str">
        <v>SUB</v>
      </c>
      <c r="E282">
        <v>0.899999999999999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0.96</v>
      </c>
      <c r="M282">
        <v>0.9768</v>
      </c>
      <c r="N282">
        <v>0.9912</v>
      </c>
      <c r="O282">
        <v>1</v>
      </c>
      <c r="P282">
        <v>1</v>
      </c>
      <c r="Q282">
        <v>0.9583</v>
      </c>
      <c r="R282">
        <v>0.9</v>
      </c>
      <c r="S282">
        <v>0.9038</v>
      </c>
      <c r="U282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82">
        <v>1</v>
      </c>
      <c r="W282">
        <v>1</v>
      </c>
      <c r="X282">
        <v>1</v>
      </c>
      <c r="Y282">
        <v>0.2</v>
      </c>
      <c r="Z282">
        <v>0.988</v>
      </c>
      <c r="AA282">
        <v>1</v>
      </c>
      <c r="AB282">
        <v>1</v>
      </c>
      <c r="AC282">
        <v>0.919</v>
      </c>
      <c r="AD282">
        <v>1</v>
      </c>
      <c r="AE282">
        <v>1</v>
      </c>
      <c r="AF282">
        <v>0.994</v>
      </c>
      <c r="AG282">
        <v>1</v>
      </c>
      <c r="AH28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2" t="str">
        <v>March</v>
      </c>
      <c r="AJ282" t="str">
        <v>2026</v>
      </c>
    </row>
    <row r="283" xml:space="preserve">
      <c r="A283">
        <v>46090</v>
      </c>
      <c r="B283" t="str">
        <v>Region 4</v>
      </c>
      <c r="C283" t="str">
        <v>Juanda Airport Surabaya</v>
      </c>
      <c r="D283" t="str">
        <v>SUB</v>
      </c>
      <c r="E283">
        <v>0.899999999999999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0.96</v>
      </c>
      <c r="L283" t="str">
        <v xml:space="preserve">Trafo T01 630 KVA di Gedung AOB mengalami kerusakan, penggantian dengan trafo spare 200 KVA </v>
      </c>
      <c r="M283">
        <v>0.9768</v>
      </c>
      <c r="N283">
        <v>0.9912</v>
      </c>
      <c r="O283">
        <v>1</v>
      </c>
      <c r="P283">
        <v>1</v>
      </c>
      <c r="Q283">
        <v>0.9583</v>
      </c>
      <c r="R283">
        <v>0.9</v>
      </c>
      <c r="S283">
        <v>0.9038</v>
      </c>
      <c r="U283" t="str" xml:space="preserve">
        <v xml:space="preserve">- Chiller No. 2 Terminal 2 Kerusakan pada  control modul _x000d_
- Kerusakan 3 unit pompa distribusi T1_x000d_
- Garbarata A5B2 kiri kerusakan PLC console desk_x000d_
- Kerusakan Salvage</v>
      </c>
      <c r="V283">
        <v>1</v>
      </c>
      <c r="W283">
        <v>1</v>
      </c>
      <c r="X283">
        <v>1</v>
      </c>
      <c r="Y283">
        <v>0.2</v>
      </c>
      <c r="Z283">
        <v>0.988</v>
      </c>
      <c r="AA283">
        <v>1</v>
      </c>
      <c r="AB283">
        <v>1</v>
      </c>
      <c r="AC283">
        <v>0.919</v>
      </c>
      <c r="AD283">
        <v>1</v>
      </c>
      <c r="AE283">
        <v>1</v>
      </c>
      <c r="AF283">
        <v>0.994</v>
      </c>
      <c r="AG283">
        <v>1</v>
      </c>
      <c r="AH28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3" t="str">
        <v>March</v>
      </c>
      <c r="AJ283" t="str">
        <v>2026</v>
      </c>
    </row>
    <row r="284" xml:space="preserve">
      <c r="A284">
        <v>46091</v>
      </c>
      <c r="B284" t="str">
        <v>Region 4</v>
      </c>
      <c r="C284" t="str">
        <v>Juanda Airport Surabaya</v>
      </c>
      <c r="D284" t="str">
        <v>SUB</v>
      </c>
      <c r="E284">
        <v>0.899999999999999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0.96</v>
      </c>
      <c r="M284">
        <v>1</v>
      </c>
      <c r="N284">
        <v>0.9912</v>
      </c>
      <c r="O284">
        <v>1</v>
      </c>
      <c r="P284">
        <v>1</v>
      </c>
      <c r="Q284">
        <v>0.9583</v>
      </c>
      <c r="R284">
        <v>0.9</v>
      </c>
      <c r="S284">
        <v>0.9038</v>
      </c>
      <c r="U284" t="str" xml:space="preserve">
        <v xml:space="preserve">- Kerusakan 3 unit pompa distribusi T1_x000d_
- Garbarata A5B2 kiri kerusakan PLC console desk_x000d_
- Kerusakan Salvage</v>
      </c>
      <c r="V284">
        <v>1</v>
      </c>
      <c r="W284">
        <v>1</v>
      </c>
      <c r="X284">
        <v>1</v>
      </c>
      <c r="Y284">
        <v>0.2</v>
      </c>
      <c r="Z284">
        <v>0.988</v>
      </c>
      <c r="AA284">
        <v>1</v>
      </c>
      <c r="AB284">
        <v>1</v>
      </c>
      <c r="AC284">
        <v>0.919</v>
      </c>
      <c r="AD284">
        <v>1</v>
      </c>
      <c r="AE284">
        <v>1</v>
      </c>
      <c r="AF284">
        <v>0.994</v>
      </c>
      <c r="AG284">
        <v>1</v>
      </c>
      <c r="AH28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4" t="str">
        <v>March</v>
      </c>
      <c r="AJ284" t="str">
        <v>2026</v>
      </c>
    </row>
    <row r="285" xml:space="preserve">
      <c r="A285">
        <v>46092</v>
      </c>
      <c r="B285" t="str">
        <v>Region 4</v>
      </c>
      <c r="C285" t="str">
        <v>Juanda Airport Surabaya</v>
      </c>
      <c r="D285" t="str">
        <v>SUB</v>
      </c>
      <c r="E285">
        <v>0.899999999999999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0.96</v>
      </c>
      <c r="M285">
        <v>1</v>
      </c>
      <c r="N285">
        <v>0.9912</v>
      </c>
      <c r="O285">
        <v>1</v>
      </c>
      <c r="P285">
        <v>1</v>
      </c>
      <c r="Q285">
        <v>0.9583</v>
      </c>
      <c r="R285">
        <v>0.9</v>
      </c>
      <c r="S285">
        <v>0.9038</v>
      </c>
      <c r="U285" t="str" xml:space="preserve">
        <v xml:space="preserve">- Kerusakan 3 unit pompa distribusi T1_x000d_
- Garbarata A5B2 kiri kerusakan PLC console desk_x000d_
- Kerusakan Salvage</v>
      </c>
      <c r="V285">
        <v>1</v>
      </c>
      <c r="W285">
        <v>1</v>
      </c>
      <c r="X285">
        <v>1</v>
      </c>
      <c r="Y285">
        <v>0.2</v>
      </c>
      <c r="Z285">
        <v>0.988</v>
      </c>
      <c r="AA285">
        <v>1</v>
      </c>
      <c r="AB285">
        <v>1</v>
      </c>
      <c r="AC285">
        <v>0.919</v>
      </c>
      <c r="AD285">
        <v>1</v>
      </c>
      <c r="AE285">
        <v>1</v>
      </c>
      <c r="AF285">
        <v>0.994</v>
      </c>
      <c r="AG285">
        <v>1</v>
      </c>
      <c r="AH28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5" t="str">
        <v>March</v>
      </c>
      <c r="AJ285" t="str">
        <v>2026</v>
      </c>
    </row>
    <row r="286" xml:space="preserve">
      <c r="A286">
        <v>46093</v>
      </c>
      <c r="B286" t="str">
        <v>Region 4</v>
      </c>
      <c r="C286" t="str">
        <v>Juanda Airport Surabaya</v>
      </c>
      <c r="D286" t="str">
        <v>SUB</v>
      </c>
      <c r="E286">
        <v>0.899999999999999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0.96</v>
      </c>
      <c r="M286">
        <v>1</v>
      </c>
      <c r="N286">
        <v>0.9912</v>
      </c>
      <c r="O286">
        <v>1</v>
      </c>
      <c r="P286">
        <v>1</v>
      </c>
      <c r="Q286">
        <v>0.9583</v>
      </c>
      <c r="R286">
        <v>0.9</v>
      </c>
      <c r="S286">
        <v>0.9038</v>
      </c>
      <c r="U286" t="str" xml:space="preserve">
        <v xml:space="preserve">- Kerusakan 3 unit pompa distribusi T1_x000d_
- Garbarata A5B2 kiri kerusakan PLC console desk_x000d_
- Kerusakan Salvage</v>
      </c>
      <c r="V286">
        <v>1</v>
      </c>
      <c r="W286">
        <v>1</v>
      </c>
      <c r="X286">
        <v>1</v>
      </c>
      <c r="Y286">
        <v>0.2</v>
      </c>
      <c r="Z286">
        <v>0.986</v>
      </c>
      <c r="AA286">
        <v>1</v>
      </c>
      <c r="AB286">
        <v>1</v>
      </c>
      <c r="AC286">
        <v>0.919</v>
      </c>
      <c r="AD286">
        <v>1</v>
      </c>
      <c r="AE286">
        <v>1</v>
      </c>
      <c r="AF286">
        <v>0.994</v>
      </c>
      <c r="AG286">
        <v>1</v>
      </c>
      <c r="AH28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6" t="str">
        <v>March</v>
      </c>
      <c r="AJ286" t="str">
        <v>2026</v>
      </c>
    </row>
    <row r="287" xml:space="preserve">
      <c r="A287">
        <v>46094</v>
      </c>
      <c r="B287" t="str">
        <v>Region 4</v>
      </c>
      <c r="C287" t="str">
        <v>Juanda Airport Surabaya</v>
      </c>
      <c r="D287" t="str">
        <v>SUB</v>
      </c>
      <c r="E287">
        <v>0.899999999999999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0.96</v>
      </c>
      <c r="M287">
        <v>1</v>
      </c>
      <c r="N287">
        <v>0.9912</v>
      </c>
      <c r="O287">
        <v>1</v>
      </c>
      <c r="P287">
        <v>1</v>
      </c>
      <c r="Q287">
        <v>0.9583</v>
      </c>
      <c r="R287">
        <v>0.9</v>
      </c>
      <c r="S287">
        <v>0.9038</v>
      </c>
      <c r="U287" t="str" xml:space="preserve">
        <v xml:space="preserve">- Kerusakan 3 unit pompa distribusi T1_x000d_
- Garbarata A5B2 kiri kerusakan PLC console desk_x000d_
- Kerusakan Salvage</v>
      </c>
      <c r="V287">
        <v>1</v>
      </c>
      <c r="W287">
        <v>1</v>
      </c>
      <c r="X287">
        <v>1</v>
      </c>
      <c r="Y287">
        <v>0.2</v>
      </c>
      <c r="Z287">
        <v>0.986</v>
      </c>
      <c r="AA287">
        <v>1</v>
      </c>
      <c r="AB287">
        <v>1</v>
      </c>
      <c r="AC287">
        <v>0.919</v>
      </c>
      <c r="AD287">
        <v>1</v>
      </c>
      <c r="AE287">
        <v>1</v>
      </c>
      <c r="AF287">
        <v>0.994</v>
      </c>
      <c r="AG287">
        <v>1</v>
      </c>
      <c r="AH28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normal. Dan di tahun 2025/2026 ada _x000d_
    investasi pengadaan ETD sebanyak 4 unit.</v>
      </c>
      <c r="AI287" t="str">
        <v>March</v>
      </c>
      <c r="AJ287" t="str">
        <v>2026</v>
      </c>
    </row>
    <row r="288" xml:space="preserve">
      <c r="A288">
        <v>46095</v>
      </c>
      <c r="B288" t="str">
        <v>Region 4</v>
      </c>
      <c r="C288" t="str">
        <v>Juanda Airport Surabaya</v>
      </c>
      <c r="D288" t="str">
        <v>SUB</v>
      </c>
      <c r="E288">
        <v>0.899999999999999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0.96</v>
      </c>
      <c r="M288">
        <v>1</v>
      </c>
      <c r="N288">
        <v>0.9912</v>
      </c>
      <c r="O288">
        <v>1</v>
      </c>
      <c r="P288">
        <v>1</v>
      </c>
      <c r="Q288">
        <v>0.9583</v>
      </c>
      <c r="R288">
        <v>0.9</v>
      </c>
      <c r="S288">
        <v>0.9038</v>
      </c>
      <c r="U288" t="str" xml:space="preserve">
        <v xml:space="preserve">- Kerusakan 3 unit pompa distribusi T1_x000d_
- Garbarata A5B2 kiri kerusakan PLC console desk_x000d_
- Kerusakan Salvage</v>
      </c>
      <c r="V288">
        <v>1</v>
      </c>
      <c r="W288">
        <v>1</v>
      </c>
      <c r="X288">
        <v>1</v>
      </c>
      <c r="Y288">
        <v>0</v>
      </c>
      <c r="Z288">
        <v>0.927</v>
      </c>
      <c r="AA288">
        <v>1</v>
      </c>
      <c r="AB288">
        <v>1</v>
      </c>
      <c r="AC288">
        <v>0.919</v>
      </c>
      <c r="AD288">
        <v>1</v>
      </c>
      <c r="AE288">
        <v>1</v>
      </c>
      <c r="AF288">
        <v>0.994</v>
      </c>
      <c r="AG288">
        <v>1</v>
      </c>
      <c r="AH28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88" t="str">
        <v>March</v>
      </c>
      <c r="AJ288" t="str">
        <v>2026</v>
      </c>
    </row>
    <row r="289" xml:space="preserve">
      <c r="A289">
        <v>46096</v>
      </c>
      <c r="B289" t="str">
        <v>Region 4</v>
      </c>
      <c r="C289" t="str">
        <v>Juanda Airport Surabaya</v>
      </c>
      <c r="D289" t="str">
        <v>SUB</v>
      </c>
      <c r="E289">
        <v>0.899999999999999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0.96</v>
      </c>
      <c r="M289">
        <v>1</v>
      </c>
      <c r="N289">
        <v>0.9912</v>
      </c>
      <c r="O289">
        <v>1</v>
      </c>
      <c r="P289">
        <v>1</v>
      </c>
      <c r="Q289">
        <v>0.9583</v>
      </c>
      <c r="R289">
        <v>0.9</v>
      </c>
      <c r="S289">
        <v>0.9038</v>
      </c>
      <c r="U289" t="str" xml:space="preserve">
        <v xml:space="preserve">- Kerusakan 3 unit pompa distribusi T1_x000d_
- Garbarata A5B2 kiri kerusakan PLC console desk_x000d_
- Kerusakan Salvage</v>
      </c>
      <c r="V289">
        <v>1</v>
      </c>
      <c r="W289">
        <v>1</v>
      </c>
      <c r="X289">
        <v>1</v>
      </c>
      <c r="Y289">
        <v>0</v>
      </c>
      <c r="Z289">
        <v>0.927</v>
      </c>
      <c r="AA289">
        <v>1</v>
      </c>
      <c r="AB289">
        <v>1</v>
      </c>
      <c r="AC289">
        <v>0.919</v>
      </c>
      <c r="AD289">
        <v>1</v>
      </c>
      <c r="AE289">
        <v>1</v>
      </c>
      <c r="AF289">
        <v>0.994</v>
      </c>
      <c r="AG289">
        <v>1</v>
      </c>
      <c r="AH28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89" t="str">
        <v>March</v>
      </c>
      <c r="AJ289" t="str">
        <v>2026</v>
      </c>
    </row>
    <row r="290" xml:space="preserve">
      <c r="A290">
        <v>46097</v>
      </c>
      <c r="B290" t="str">
        <v>Region 4</v>
      </c>
      <c r="C290" t="str">
        <v>Juanda Airport Surabaya</v>
      </c>
      <c r="D290" t="str">
        <v>SUB</v>
      </c>
      <c r="E290">
        <v>0.899999999999999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0.96</v>
      </c>
      <c r="M290">
        <v>1</v>
      </c>
      <c r="N290">
        <v>0.9912</v>
      </c>
      <c r="O290">
        <v>1</v>
      </c>
      <c r="P290">
        <v>1</v>
      </c>
      <c r="Q290">
        <v>0.9583</v>
      </c>
      <c r="R290">
        <v>0.9</v>
      </c>
      <c r="S290">
        <v>0.9038</v>
      </c>
      <c r="U290" t="str" xml:space="preserve">
        <v xml:space="preserve">- Kerusakan 3 unit pompa distribusi T1_x000d_
- Garbarata A5B2 kiri kerusakan PLC console desk_x000d_
- Kerusakan Salvage</v>
      </c>
      <c r="V290">
        <v>1</v>
      </c>
      <c r="W290">
        <v>1</v>
      </c>
      <c r="X290">
        <v>1</v>
      </c>
      <c r="Y290">
        <v>0</v>
      </c>
      <c r="Z290">
        <v>0.927</v>
      </c>
      <c r="AA290">
        <v>1</v>
      </c>
      <c r="AB290">
        <v>1</v>
      </c>
      <c r="AC290">
        <v>0.919</v>
      </c>
      <c r="AD290">
        <v>1</v>
      </c>
      <c r="AE290">
        <v>1</v>
      </c>
      <c r="AF290">
        <v>0.994</v>
      </c>
      <c r="AG290">
        <v>1</v>
      </c>
      <c r="AH29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0" t="str">
        <v>March</v>
      </c>
      <c r="AJ290" t="str">
        <v>2026</v>
      </c>
    </row>
    <row r="291" xml:space="preserve">
      <c r="A291">
        <v>46098</v>
      </c>
      <c r="B291" t="str">
        <v>Region 4</v>
      </c>
      <c r="C291" t="str">
        <v>Juanda Airport Surabaya</v>
      </c>
      <c r="D291" t="str">
        <v>SUB</v>
      </c>
      <c r="E291">
        <v>0.899999999999999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0.96</v>
      </c>
      <c r="M291">
        <v>1</v>
      </c>
      <c r="N291">
        <v>0.9912</v>
      </c>
      <c r="O291">
        <v>1</v>
      </c>
      <c r="P291">
        <v>1</v>
      </c>
      <c r="Q291">
        <v>0.9583</v>
      </c>
      <c r="R291">
        <v>0.9</v>
      </c>
      <c r="S291">
        <v>0.9038</v>
      </c>
      <c r="U291" t="str" xml:space="preserve">
        <v xml:space="preserve">- Kerusakan 3 unit pompa distribusi T1_x000d_
- Garbarata A5B2 kiri kerusakan PLC console desk_x000d_
- Kerusakan Salvage</v>
      </c>
      <c r="V291">
        <v>1</v>
      </c>
      <c r="W291">
        <v>1</v>
      </c>
      <c r="X291">
        <v>1</v>
      </c>
      <c r="Y291">
        <v>0</v>
      </c>
      <c r="Z291">
        <v>0.927</v>
      </c>
      <c r="AA291">
        <v>1</v>
      </c>
      <c r="AB291">
        <v>1</v>
      </c>
      <c r="AC291">
        <v>0.919</v>
      </c>
      <c r="AD291">
        <v>1</v>
      </c>
      <c r="AE291">
        <v>1</v>
      </c>
      <c r="AF291">
        <v>0.994</v>
      </c>
      <c r="AG291">
        <v>1</v>
      </c>
      <c r="AH29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1" t="str">
        <v>March</v>
      </c>
      <c r="AJ291" t="str">
        <v>2026</v>
      </c>
    </row>
    <row r="292" xml:space="preserve">
      <c r="A292">
        <v>46099</v>
      </c>
      <c r="B292" t="str">
        <v>Region 4</v>
      </c>
      <c r="C292" t="str">
        <v>Juanda Airport Surabaya</v>
      </c>
      <c r="D292" t="str">
        <v>SUB</v>
      </c>
      <c r="E292">
        <v>0.899999999999999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0.96</v>
      </c>
      <c r="M292">
        <v>1</v>
      </c>
      <c r="N292">
        <v>0.9912</v>
      </c>
      <c r="O292">
        <v>1</v>
      </c>
      <c r="P292">
        <v>1</v>
      </c>
      <c r="Q292">
        <v>0.9583</v>
      </c>
      <c r="R292">
        <v>0.9</v>
      </c>
      <c r="S292">
        <v>0.9038</v>
      </c>
      <c r="U292" t="str" xml:space="preserve">
        <v xml:space="preserve">- Kerusakan 3 unit pompa distribusi T1_x000d_
- Garbarata A5B2 kiri kerusakan PLC console desk_x000d_
- Kerusakan Salvage</v>
      </c>
      <c r="V292">
        <v>1</v>
      </c>
      <c r="W292">
        <v>1</v>
      </c>
      <c r="X292">
        <v>1</v>
      </c>
      <c r="Y292">
        <v>0</v>
      </c>
      <c r="Z292">
        <v>0.927</v>
      </c>
      <c r="AA292">
        <v>1</v>
      </c>
      <c r="AB292">
        <v>1</v>
      </c>
      <c r="AC292">
        <v>0.919</v>
      </c>
      <c r="AD292">
        <v>1</v>
      </c>
      <c r="AE292">
        <v>1</v>
      </c>
      <c r="AF292">
        <v>0.994</v>
      </c>
      <c r="AG292">
        <v>1</v>
      </c>
      <c r="AH29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2" t="str">
        <v>March</v>
      </c>
      <c r="AJ292" t="str">
        <v>2026</v>
      </c>
    </row>
    <row r="293" xml:space="preserve">
      <c r="A293">
        <v>46100</v>
      </c>
      <c r="B293" t="str">
        <v>Region 4</v>
      </c>
      <c r="C293" t="str">
        <v>Juanda Airport Surabaya</v>
      </c>
      <c r="D293" t="str">
        <v>SUB</v>
      </c>
      <c r="E293">
        <v>0.899999999999999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0.96</v>
      </c>
      <c r="M293">
        <v>1</v>
      </c>
      <c r="N293">
        <v>0.9912</v>
      </c>
      <c r="O293">
        <v>1</v>
      </c>
      <c r="P293">
        <v>1</v>
      </c>
      <c r="Q293">
        <v>0.9583</v>
      </c>
      <c r="R293">
        <v>0.9</v>
      </c>
      <c r="S293">
        <v>0.9038</v>
      </c>
      <c r="U293" t="str" xml:space="preserve">
        <v xml:space="preserve">- Kerusakan 3 unit pompa distribusi T1_x000d_
- Garbarata A5B2 kiri kerusakan PLC console desk_x000d_
- Kerusakan Salvage</v>
      </c>
      <c r="V293">
        <v>1</v>
      </c>
      <c r="W293">
        <v>1</v>
      </c>
      <c r="X293">
        <v>1</v>
      </c>
      <c r="Y293">
        <v>0</v>
      </c>
      <c r="Z293">
        <v>0.927</v>
      </c>
      <c r="AA293">
        <v>1</v>
      </c>
      <c r="AB293">
        <v>1</v>
      </c>
      <c r="AC293">
        <v>0.919</v>
      </c>
      <c r="AD293">
        <v>1</v>
      </c>
      <c r="AE293">
        <v>1</v>
      </c>
      <c r="AF293">
        <v>0.994</v>
      </c>
      <c r="AG293">
        <v>1</v>
      </c>
      <c r="AH29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3" t="str">
        <v>March</v>
      </c>
      <c r="AJ293" t="str">
        <v>2026</v>
      </c>
    </row>
    <row r="294" xml:space="preserve">
      <c r="A294">
        <v>46101</v>
      </c>
      <c r="B294" t="str">
        <v>Region 4</v>
      </c>
      <c r="C294" t="str">
        <v>Juanda Airport Surabaya</v>
      </c>
      <c r="D294" t="str">
        <v>SUB</v>
      </c>
      <c r="E294">
        <v>0.899999999999999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0.96</v>
      </c>
      <c r="M294">
        <v>1</v>
      </c>
      <c r="N294">
        <v>0.9912</v>
      </c>
      <c r="O294">
        <v>1</v>
      </c>
      <c r="P294">
        <v>1</v>
      </c>
      <c r="Q294">
        <v>0.9583</v>
      </c>
      <c r="R294">
        <v>0.9</v>
      </c>
      <c r="S294">
        <v>0.9038</v>
      </c>
      <c r="U294" t="str" xml:space="preserve">
        <v xml:space="preserve">- Kerusakan 3 unit pompa distribusi T1_x000d_
- Garbarata A5B2 kiri kerusakan PLC console desk_x000d_
- Kerusakan Salvage</v>
      </c>
      <c r="V294">
        <v>1</v>
      </c>
      <c r="W294">
        <v>1</v>
      </c>
      <c r="X294">
        <v>1</v>
      </c>
      <c r="Y294">
        <v>0</v>
      </c>
      <c r="Z294">
        <v>0.929</v>
      </c>
      <c r="AA294">
        <v>1</v>
      </c>
      <c r="AB294">
        <v>1</v>
      </c>
      <c r="AC294">
        <v>0.919</v>
      </c>
      <c r="AD294">
        <v>1</v>
      </c>
      <c r="AE294">
        <v>1</v>
      </c>
      <c r="AF294">
        <v>0.994</v>
      </c>
      <c r="AG294">
        <v>1</v>
      </c>
      <c r="AH29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4" t="str">
        <v>March</v>
      </c>
      <c r="AJ294" t="str">
        <v>2026</v>
      </c>
    </row>
    <row r="295" xml:space="preserve">
      <c r="A295">
        <v>46102</v>
      </c>
      <c r="B295" t="str">
        <v>Region 4</v>
      </c>
      <c r="C295" t="str">
        <v>Juanda Airport Surabaya</v>
      </c>
      <c r="D295" t="str">
        <v>SUB</v>
      </c>
      <c r="E295">
        <v>0.899999999999999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0.96</v>
      </c>
      <c r="M295">
        <v>1</v>
      </c>
      <c r="N295">
        <v>0.9912</v>
      </c>
      <c r="O295">
        <v>1</v>
      </c>
      <c r="P295">
        <v>1</v>
      </c>
      <c r="Q295">
        <v>0.9583</v>
      </c>
      <c r="R295">
        <v>0.9</v>
      </c>
      <c r="S295">
        <v>0.9038</v>
      </c>
      <c r="U295" t="str" xml:space="preserve">
        <v xml:space="preserve">- Kerusakan 3 unit pompa distribusi T1_x000d_
- Garbarata A5B2 kiri kerusakan PLC console desk_x000d_
- Kerusakan Salvage</v>
      </c>
      <c r="V295">
        <v>1</v>
      </c>
      <c r="W295">
        <v>1</v>
      </c>
      <c r="X295">
        <v>1</v>
      </c>
      <c r="Y295">
        <v>0</v>
      </c>
      <c r="Z295">
        <v>0.929</v>
      </c>
      <c r="AA295">
        <v>1</v>
      </c>
      <c r="AB295">
        <v>1</v>
      </c>
      <c r="AC295">
        <v>0.919</v>
      </c>
      <c r="AD295">
        <v>1</v>
      </c>
      <c r="AE295">
        <v>1</v>
      </c>
      <c r="AF295">
        <v>0.994</v>
      </c>
      <c r="AG295">
        <v>1</v>
      </c>
      <c r="AH29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5" t="str">
        <v>March</v>
      </c>
      <c r="AJ295" t="str">
        <v>2026</v>
      </c>
    </row>
    <row r="296" xml:space="preserve">
      <c r="A296">
        <v>46103</v>
      </c>
      <c r="B296" t="str">
        <v>Region 4</v>
      </c>
      <c r="C296" t="str">
        <v>Juanda Airport Surabaya</v>
      </c>
      <c r="D296" t="str">
        <v>SUB</v>
      </c>
      <c r="E296">
        <v>0.899999999999999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0.96</v>
      </c>
      <c r="M296">
        <v>1</v>
      </c>
      <c r="N296">
        <v>0.9912</v>
      </c>
      <c r="O296">
        <v>1</v>
      </c>
      <c r="P296">
        <v>1</v>
      </c>
      <c r="Q296">
        <v>0.9583</v>
      </c>
      <c r="R296">
        <v>0.9</v>
      </c>
      <c r="S296">
        <v>0.9038</v>
      </c>
      <c r="U296" t="str" xml:space="preserve">
        <v xml:space="preserve">- Kerusakan 3 unit pompa distribusi T1_x000d_
- Garbarata A5B2 kiri kerusakan PLC console desk_x000d_
- Kerusakan Salvage</v>
      </c>
      <c r="V296">
        <v>1</v>
      </c>
      <c r="W296">
        <v>1</v>
      </c>
      <c r="X296">
        <v>1</v>
      </c>
      <c r="Y296">
        <v>0</v>
      </c>
      <c r="Z296">
        <v>0.929</v>
      </c>
      <c r="AA296">
        <v>1</v>
      </c>
      <c r="AB296">
        <v>1</v>
      </c>
      <c r="AC296">
        <v>0.919</v>
      </c>
      <c r="AD296">
        <v>1</v>
      </c>
      <c r="AE296">
        <v>1</v>
      </c>
      <c r="AF296">
        <v>0.994</v>
      </c>
      <c r="AG296">
        <v>1</v>
      </c>
      <c r="AH29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6" t="str">
        <v>March</v>
      </c>
      <c r="AJ296" t="str">
        <v>2026</v>
      </c>
    </row>
    <row r="297" xml:space="preserve">
      <c r="A297">
        <v>46104</v>
      </c>
      <c r="B297" t="str">
        <v>Region 4</v>
      </c>
      <c r="C297" t="str">
        <v>Juanda Airport Surabaya</v>
      </c>
      <c r="D297" t="str">
        <v>SUB</v>
      </c>
      <c r="E297">
        <v>0.899999999999999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0.96</v>
      </c>
      <c r="M297">
        <v>1</v>
      </c>
      <c r="N297">
        <v>0.9912</v>
      </c>
      <c r="O297">
        <v>1</v>
      </c>
      <c r="P297">
        <v>1</v>
      </c>
      <c r="Q297">
        <v>0.9583</v>
      </c>
      <c r="R297">
        <v>0.9</v>
      </c>
      <c r="S297">
        <v>0.9038</v>
      </c>
      <c r="U297" t="str" xml:space="preserve">
        <v xml:space="preserve">- Kerusakan 3 unit pompa distribusi T1_x000d_
- Garbarata A5B2 kiri kerusakan PLC console desk_x000d_
- Kerusakan Salvage</v>
      </c>
      <c r="V297">
        <v>1</v>
      </c>
      <c r="W297">
        <v>1</v>
      </c>
      <c r="X297">
        <v>1</v>
      </c>
      <c r="Y297">
        <v>0</v>
      </c>
      <c r="Z297">
        <v>0.929</v>
      </c>
      <c r="AA297">
        <v>1</v>
      </c>
      <c r="AB297">
        <v>1</v>
      </c>
      <c r="AC297">
        <v>0.919</v>
      </c>
      <c r="AD297">
        <v>1</v>
      </c>
      <c r="AE297">
        <v>1</v>
      </c>
      <c r="AF297">
        <v>0.994</v>
      </c>
      <c r="AG297">
        <v>1</v>
      </c>
      <c r="AH29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7" t="str">
        <v>March</v>
      </c>
      <c r="AJ297" t="str">
        <v>2026</v>
      </c>
    </row>
    <row r="298" xml:space="preserve">
      <c r="A298">
        <v>46105</v>
      </c>
      <c r="B298" t="str">
        <v>Region 4</v>
      </c>
      <c r="C298" t="str">
        <v>Juanda Airport Surabaya</v>
      </c>
      <c r="D298" t="str">
        <v>SUB</v>
      </c>
      <c r="E298">
        <v>0.899999999999999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0.96</v>
      </c>
      <c r="M298">
        <v>1</v>
      </c>
      <c r="N298">
        <v>0.9912</v>
      </c>
      <c r="O298">
        <v>1</v>
      </c>
      <c r="P298">
        <v>1</v>
      </c>
      <c r="Q298">
        <v>0.9583</v>
      </c>
      <c r="R298">
        <v>0.9</v>
      </c>
      <c r="S298">
        <v>0.9038</v>
      </c>
      <c r="U298" t="str" xml:space="preserve">
        <v xml:space="preserve">- Kerusakan 3 unit pompa distribusi T1_x000d_
- Garbarata A5B2 kiri kerusakan PLC console desk_x000d_
- Kerusakan Salvage</v>
      </c>
      <c r="V298">
        <v>1</v>
      </c>
      <c r="W298">
        <v>1</v>
      </c>
      <c r="X298">
        <v>1</v>
      </c>
      <c r="Y298">
        <v>0</v>
      </c>
      <c r="Z298">
        <v>0.929</v>
      </c>
      <c r="AA298">
        <v>1</v>
      </c>
      <c r="AB298">
        <v>1</v>
      </c>
      <c r="AC298">
        <v>0.919</v>
      </c>
      <c r="AD298">
        <v>1</v>
      </c>
      <c r="AE298">
        <v>1</v>
      </c>
      <c r="AF298">
        <v>0.994</v>
      </c>
      <c r="AG298">
        <v>1</v>
      </c>
      <c r="AH29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8" t="str">
        <v>March</v>
      </c>
      <c r="AJ298" t="str">
        <v>2026</v>
      </c>
    </row>
    <row r="299" xml:space="preserve">
      <c r="A299">
        <v>46106</v>
      </c>
      <c r="B299" t="str">
        <v>Region 4</v>
      </c>
      <c r="C299" t="str">
        <v>Juanda Airport Surabaya</v>
      </c>
      <c r="D299" t="str">
        <v>SUB</v>
      </c>
      <c r="E299">
        <v>0.899999999999999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0.96</v>
      </c>
      <c r="M299">
        <v>1</v>
      </c>
      <c r="N299">
        <v>0.9912</v>
      </c>
      <c r="O299">
        <v>1</v>
      </c>
      <c r="P299">
        <v>1</v>
      </c>
      <c r="Q299">
        <v>0.9583</v>
      </c>
      <c r="R299">
        <v>0.9</v>
      </c>
      <c r="S299">
        <v>0.9038</v>
      </c>
      <c r="U299" t="str" xml:space="preserve">
        <v xml:space="preserve">- Kerusakan 3 unit pompa distribusi T1_x000d_
- Garbarata A5B2 kiri kerusakan PLC console desk_x000d_
- Kerusakan Salvage</v>
      </c>
      <c r="V299">
        <v>1</v>
      </c>
      <c r="W299">
        <v>1</v>
      </c>
      <c r="X299">
        <v>1</v>
      </c>
      <c r="Y299">
        <v>0</v>
      </c>
      <c r="Z299">
        <v>0.929</v>
      </c>
      <c r="AA299">
        <v>1</v>
      </c>
      <c r="AB299">
        <v>1</v>
      </c>
      <c r="AC299">
        <v>0.919</v>
      </c>
      <c r="AD299">
        <v>1</v>
      </c>
      <c r="AE299">
        <v>0.988</v>
      </c>
      <c r="AF299">
        <v>0.994</v>
      </c>
      <c r="AG299">
        <v>1</v>
      </c>
      <c r="AH29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299" t="str">
        <v>March</v>
      </c>
      <c r="AJ299" t="str">
        <v>2026</v>
      </c>
    </row>
    <row r="300" xml:space="preserve">
      <c r="A300">
        <v>46107</v>
      </c>
      <c r="B300" t="str">
        <v>Region 4</v>
      </c>
      <c r="C300" t="str">
        <v>Juanda Airport Surabaya</v>
      </c>
      <c r="D300" t="str">
        <v>SUB</v>
      </c>
      <c r="E300">
        <v>0.899999999999999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0.96</v>
      </c>
      <c r="M300">
        <v>1</v>
      </c>
      <c r="N300">
        <v>0.9912</v>
      </c>
      <c r="O300">
        <v>1</v>
      </c>
      <c r="P300">
        <v>1</v>
      </c>
      <c r="Q300">
        <v>0.9583</v>
      </c>
      <c r="R300">
        <v>0.9</v>
      </c>
      <c r="S300">
        <v>0.9038</v>
      </c>
      <c r="U300" t="str" xml:space="preserve">
        <v xml:space="preserve">- Kerusakan 3 unit pompa distribusi T1_x000d_
- Garbarata A5B2 kiri kerusakan PLC console desk_x000d_
- Kerusakan Salvage</v>
      </c>
      <c r="V300">
        <v>1</v>
      </c>
      <c r="W300">
        <v>1</v>
      </c>
      <c r="X300">
        <v>1</v>
      </c>
      <c r="Y300">
        <v>0</v>
      </c>
      <c r="Z300">
        <v>0.929</v>
      </c>
      <c r="AA300">
        <v>1</v>
      </c>
      <c r="AB300">
        <v>1</v>
      </c>
      <c r="AC300">
        <v>0.919</v>
      </c>
      <c r="AD300">
        <v>1</v>
      </c>
      <c r="AE300">
        <v>0.988</v>
      </c>
      <c r="AF300">
        <v>0.994</v>
      </c>
      <c r="AG300">
        <v>1</v>
      </c>
      <c r="AH30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0" t="str">
        <v>March</v>
      </c>
      <c r="AJ300" t="str">
        <v>2026</v>
      </c>
    </row>
    <row r="301" xml:space="preserve">
      <c r="A301">
        <v>46108</v>
      </c>
      <c r="B301" t="str">
        <v>Region 4</v>
      </c>
      <c r="C301" t="str">
        <v>Juanda Airport Surabaya</v>
      </c>
      <c r="D301" t="str">
        <v>SUB</v>
      </c>
      <c r="E301">
        <v>0.899999999999999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0.96</v>
      </c>
      <c r="M301">
        <v>1</v>
      </c>
      <c r="N301">
        <v>0.9912</v>
      </c>
      <c r="O301">
        <v>1</v>
      </c>
      <c r="P301">
        <v>1</v>
      </c>
      <c r="Q301">
        <v>0.9583</v>
      </c>
      <c r="R301">
        <v>0.9</v>
      </c>
      <c r="S301">
        <v>0.9038</v>
      </c>
      <c r="U301" t="str" xml:space="preserve">
        <v xml:space="preserve">- Kerusakan 3 unit pompa distribusi T1_x000d_
- Garbarata A5B2 kiri kerusakan PLC console desk_x000d_
- Kerusakan Salvage</v>
      </c>
      <c r="V301">
        <v>1</v>
      </c>
      <c r="W301">
        <v>1</v>
      </c>
      <c r="X301">
        <v>1</v>
      </c>
      <c r="Y301">
        <v>0</v>
      </c>
      <c r="Z301">
        <v>0.929</v>
      </c>
      <c r="AA301">
        <v>1</v>
      </c>
      <c r="AB301">
        <v>1</v>
      </c>
      <c r="AC301">
        <v>0.919</v>
      </c>
      <c r="AD301">
        <v>1</v>
      </c>
      <c r="AE301">
        <v>0.988</v>
      </c>
      <c r="AF301">
        <v>0.994</v>
      </c>
      <c r="AG301">
        <v>1</v>
      </c>
      <c r="AH30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1" t="str">
        <v>March</v>
      </c>
      <c r="AJ301" t="str">
        <v>2026</v>
      </c>
    </row>
    <row r="302" xml:space="preserve">
      <c r="A302">
        <v>46109</v>
      </c>
      <c r="B302" t="str">
        <v>Region 4</v>
      </c>
      <c r="C302" t="str">
        <v>Juanda Airport Surabaya</v>
      </c>
      <c r="D302" t="str">
        <v>SUB</v>
      </c>
      <c r="E302">
        <v>0.899999999999999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0.96</v>
      </c>
      <c r="M302">
        <v>1</v>
      </c>
      <c r="N302">
        <v>0.9912</v>
      </c>
      <c r="O302">
        <v>1</v>
      </c>
      <c r="P302">
        <v>1</v>
      </c>
      <c r="Q302">
        <v>0.9583</v>
      </c>
      <c r="R302">
        <v>0.9</v>
      </c>
      <c r="S302">
        <v>0.9038</v>
      </c>
      <c r="U302" t="str" xml:space="preserve">
        <v xml:space="preserve">- Kerusakan 3 unit pompa distribusi T1_x000d_
- Garbarata A5B2 kiri kerusakan PLC console desk_x000d_
- Kerusakan Salvage</v>
      </c>
      <c r="V302">
        <v>1</v>
      </c>
      <c r="W302">
        <v>1</v>
      </c>
      <c r="X302">
        <v>1</v>
      </c>
      <c r="Y302">
        <v>0</v>
      </c>
      <c r="Z302">
        <v>0.929</v>
      </c>
      <c r="AA302">
        <v>1</v>
      </c>
      <c r="AB302">
        <v>1</v>
      </c>
      <c r="AC302">
        <v>0.919</v>
      </c>
      <c r="AD302">
        <v>1</v>
      </c>
      <c r="AE302">
        <v>0.988</v>
      </c>
      <c r="AF302">
        <v>0.994</v>
      </c>
      <c r="AG302">
        <v>1</v>
      </c>
      <c r="AH30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2" t="str">
        <v>March</v>
      </c>
      <c r="AJ302" t="str">
        <v>2026</v>
      </c>
    </row>
    <row r="303" xml:space="preserve">
      <c r="A303">
        <v>46110</v>
      </c>
      <c r="B303" t="str">
        <v>Region 4</v>
      </c>
      <c r="C303" t="str">
        <v>Juanda Airport Surabaya</v>
      </c>
      <c r="D303" t="str">
        <v>SUB</v>
      </c>
      <c r="E303">
        <v>0.899999999999999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0.96</v>
      </c>
      <c r="M303">
        <v>1</v>
      </c>
      <c r="N303">
        <v>0.9912</v>
      </c>
      <c r="O303">
        <v>1</v>
      </c>
      <c r="P303">
        <v>1</v>
      </c>
      <c r="Q303">
        <v>0.9583</v>
      </c>
      <c r="R303">
        <v>0.9</v>
      </c>
      <c r="S303">
        <v>0.9038</v>
      </c>
      <c r="U303" t="str" xml:space="preserve">
        <v xml:space="preserve">- Kerusakan 3 unit pompa distribusi T1_x000d_
- Garbarata A5B2 kiri kerusakan PLC console desk_x000d_
- Kerusakan Salvage</v>
      </c>
      <c r="V303">
        <v>1</v>
      </c>
      <c r="W303">
        <v>1</v>
      </c>
      <c r="X303">
        <v>1</v>
      </c>
      <c r="Y303">
        <v>0</v>
      </c>
      <c r="Z303">
        <v>0.929</v>
      </c>
      <c r="AA303">
        <v>1</v>
      </c>
      <c r="AB303">
        <v>1</v>
      </c>
      <c r="AC303">
        <v>0.919</v>
      </c>
      <c r="AD303">
        <v>1</v>
      </c>
      <c r="AE303">
        <v>0.988</v>
      </c>
      <c r="AF303">
        <v>0.994</v>
      </c>
      <c r="AG303">
        <v>1</v>
      </c>
      <c r="AH30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3" t="str">
        <v>March</v>
      </c>
      <c r="AJ303" t="str">
        <v>2026</v>
      </c>
    </row>
    <row r="304" xml:space="preserve">
      <c r="A304">
        <v>46111</v>
      </c>
      <c r="B304" t="str">
        <v>Region 4</v>
      </c>
      <c r="C304" t="str">
        <v>Juanda Airport Surabaya</v>
      </c>
      <c r="D304" t="str">
        <v>SUB</v>
      </c>
      <c r="E304">
        <v>0.899999999999999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0.96</v>
      </c>
      <c r="M304">
        <v>1</v>
      </c>
      <c r="N304">
        <v>0.9912</v>
      </c>
      <c r="O304">
        <v>1</v>
      </c>
      <c r="P304">
        <v>1</v>
      </c>
      <c r="Q304">
        <v>0.9583</v>
      </c>
      <c r="R304">
        <v>0.9</v>
      </c>
      <c r="S304">
        <v>0.9038</v>
      </c>
      <c r="U304" t="str" xml:space="preserve">
        <v xml:space="preserve">- Kerusakan 3 unit pompa distribusi T1_x000d_
- Garbarata A5B2 kiri kerusakan PLC console desk_x000d_
- Kerusakan Salvage</v>
      </c>
      <c r="V304">
        <v>1</v>
      </c>
      <c r="W304">
        <v>1</v>
      </c>
      <c r="X304">
        <v>1</v>
      </c>
      <c r="Y304">
        <v>0</v>
      </c>
      <c r="Z304">
        <v>0.929</v>
      </c>
      <c r="AA304">
        <v>1</v>
      </c>
      <c r="AB304">
        <v>1</v>
      </c>
      <c r="AC304">
        <v>0.919</v>
      </c>
      <c r="AD304">
        <v>1</v>
      </c>
      <c r="AE304">
        <v>0.988</v>
      </c>
      <c r="AF304">
        <v>0.994</v>
      </c>
      <c r="AG304">
        <v>1</v>
      </c>
      <c r="AH30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4" t="str">
        <v>March</v>
      </c>
      <c r="AJ304" t="str">
        <v>2026</v>
      </c>
    </row>
    <row r="305" xml:space="preserve">
      <c r="A305">
        <v>46112</v>
      </c>
      <c r="B305" t="str">
        <v>Region 4</v>
      </c>
      <c r="C305" t="str">
        <v>Juanda Airport Surabaya</v>
      </c>
      <c r="D305" t="str">
        <v>SUB</v>
      </c>
      <c r="E305">
        <v>0.899999999999999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0.96</v>
      </c>
      <c r="M305">
        <v>1</v>
      </c>
      <c r="N305">
        <v>0.9912</v>
      </c>
      <c r="O305">
        <v>1</v>
      </c>
      <c r="P305">
        <v>1</v>
      </c>
      <c r="Q305">
        <v>0.9583</v>
      </c>
      <c r="R305">
        <v>0.9</v>
      </c>
      <c r="S305">
        <v>0.9038</v>
      </c>
      <c r="U305" t="str" xml:space="preserve">
        <v xml:space="preserve">- Kerusakan 3 unit pompa distribusi T1_x000d_
- Garbarata A5B2 kiri kerusakan PLC console desk_x000d_
- Kerusakan Salvage</v>
      </c>
      <c r="V305">
        <v>1</v>
      </c>
      <c r="W305">
        <v>1</v>
      </c>
      <c r="X305">
        <v>1</v>
      </c>
      <c r="Y305">
        <v>0</v>
      </c>
      <c r="Z305">
        <v>0.929</v>
      </c>
      <c r="AA305">
        <v>1</v>
      </c>
      <c r="AB305">
        <v>1</v>
      </c>
      <c r="AC305">
        <v>0.919</v>
      </c>
      <c r="AD305">
        <v>1</v>
      </c>
      <c r="AE305">
        <v>0.988</v>
      </c>
      <c r="AF305">
        <v>0.994</v>
      </c>
      <c r="AG305">
        <v>1</v>
      </c>
      <c r="AH30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5" t="str">
        <v>March</v>
      </c>
      <c r="AJ305" t="str">
        <v>2026</v>
      </c>
    </row>
    <row r="306" xml:space="preserve">
      <c r="A306">
        <v>46113</v>
      </c>
      <c r="B306" t="str">
        <v>Region 4</v>
      </c>
      <c r="C306" t="str">
        <v>Juanda Airport Surabaya</v>
      </c>
      <c r="D306" t="str">
        <v>SUB</v>
      </c>
      <c r="E306">
        <v>0.899999999999999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0.96</v>
      </c>
      <c r="M306">
        <v>1</v>
      </c>
      <c r="N306">
        <v>0.9912</v>
      </c>
      <c r="O306">
        <v>1</v>
      </c>
      <c r="P306">
        <v>1</v>
      </c>
      <c r="Q306">
        <v>0.9583</v>
      </c>
      <c r="R306">
        <v>0.9</v>
      </c>
      <c r="S306">
        <v>0.9038</v>
      </c>
      <c r="U306" t="str" xml:space="preserve">
        <v xml:space="preserve">- Kerusakan 3 unit pompa distribusi T1_x000d_
- Garbarata A5B2 kiri kerusakan PLC console desk_x000d_
- Kerusakan Salvage</v>
      </c>
      <c r="V306">
        <v>1</v>
      </c>
      <c r="W306">
        <v>1</v>
      </c>
      <c r="X306">
        <v>1</v>
      </c>
      <c r="Y306">
        <v>0</v>
      </c>
      <c r="Z306">
        <v>0.929</v>
      </c>
      <c r="AA306">
        <v>1</v>
      </c>
      <c r="AB306">
        <v>1</v>
      </c>
      <c r="AC306">
        <v>0.919</v>
      </c>
      <c r="AD306">
        <v>1</v>
      </c>
      <c r="AE306">
        <v>0.988</v>
      </c>
      <c r="AF306">
        <v>0.994</v>
      </c>
      <c r="AG306">
        <v>1</v>
      </c>
      <c r="AH30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6" t="str">
        <v>April</v>
      </c>
      <c r="AJ306" t="str">
        <v>2026</v>
      </c>
    </row>
    <row r="307" xml:space="preserve">
      <c r="A307">
        <v>46114</v>
      </c>
      <c r="B307" t="str">
        <v>Region 4</v>
      </c>
      <c r="C307" t="str">
        <v>Juanda Airport Surabaya</v>
      </c>
      <c r="D307" t="str">
        <v>SUB</v>
      </c>
      <c r="E307">
        <v>0.899999999999999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0.96</v>
      </c>
      <c r="M307">
        <v>1</v>
      </c>
      <c r="N307">
        <v>0.9912</v>
      </c>
      <c r="O307">
        <v>1</v>
      </c>
      <c r="P307">
        <v>1</v>
      </c>
      <c r="Q307">
        <v>0.9583</v>
      </c>
      <c r="R307">
        <v>0.9</v>
      </c>
      <c r="S307">
        <v>0.9038</v>
      </c>
      <c r="U307" t="str" xml:space="preserve">
        <v xml:space="preserve">- Kerusakan 3 unit pompa distribusi T1_x000d_
- Garbarata A5B2 kiri kerusakan PLC console desk_x000d_
- Kerusakan Salvage</v>
      </c>
      <c r="V307">
        <v>1</v>
      </c>
      <c r="W307">
        <v>1</v>
      </c>
      <c r="X307">
        <v>1</v>
      </c>
      <c r="Y307">
        <v>0</v>
      </c>
      <c r="Z307">
        <v>0.929</v>
      </c>
      <c r="AA307">
        <v>1</v>
      </c>
      <c r="AB307">
        <v>1</v>
      </c>
      <c r="AC307">
        <v>0.919</v>
      </c>
      <c r="AD307">
        <v>1</v>
      </c>
      <c r="AE307">
        <v>0.988</v>
      </c>
      <c r="AF307">
        <v>0.994</v>
      </c>
      <c r="AG307">
        <v>1</v>
      </c>
      <c r="AH30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7" t="str">
        <v>April</v>
      </c>
      <c r="AJ307" t="str">
        <v>2026</v>
      </c>
    </row>
    <row r="308" xml:space="preserve">
      <c r="A308">
        <v>46115</v>
      </c>
      <c r="B308" t="str">
        <v>Region 4</v>
      </c>
      <c r="C308" t="str">
        <v>Juanda Airport Surabaya</v>
      </c>
      <c r="D308" t="str">
        <v>SUB</v>
      </c>
      <c r="E308">
        <v>0.899999999999999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0.96</v>
      </c>
      <c r="M308">
        <v>1</v>
      </c>
      <c r="N308">
        <v>0.9912</v>
      </c>
      <c r="O308">
        <v>1</v>
      </c>
      <c r="P308">
        <v>1</v>
      </c>
      <c r="Q308">
        <v>0.9583</v>
      </c>
      <c r="R308">
        <v>0.9</v>
      </c>
      <c r="S308">
        <v>0.9038</v>
      </c>
      <c r="U308" t="str" xml:space="preserve">
        <v xml:space="preserve">- Kerusakan 3 unit pompa distribusi T1_x000d_
- Garbarata A5B2 kiri kerusakan PLC console desk_x000d_
- Kerusakan Salvage</v>
      </c>
      <c r="V308">
        <v>1</v>
      </c>
      <c r="W308">
        <v>1</v>
      </c>
      <c r="X308">
        <v>1</v>
      </c>
      <c r="Y308">
        <v>0</v>
      </c>
      <c r="Z308">
        <v>0.929</v>
      </c>
      <c r="AA308">
        <v>1</v>
      </c>
      <c r="AB308">
        <v>1</v>
      </c>
      <c r="AC308">
        <v>0.919</v>
      </c>
      <c r="AD308">
        <v>1</v>
      </c>
      <c r="AE308">
        <v>0.988</v>
      </c>
      <c r="AF308">
        <v>0.994</v>
      </c>
      <c r="AG308">
        <v>1</v>
      </c>
      <c r="AH30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8" t="str">
        <v>April</v>
      </c>
      <c r="AJ308" t="str">
        <v>2026</v>
      </c>
    </row>
    <row r="309" xml:space="preserve">
      <c r="A309">
        <v>46116</v>
      </c>
      <c r="B309" t="str">
        <v>Region 4</v>
      </c>
      <c r="C309" t="str">
        <v>Juanda Airport Surabaya</v>
      </c>
      <c r="D309" t="str">
        <v>SUB</v>
      </c>
      <c r="E309">
        <v>0.899999999999999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0.96</v>
      </c>
      <c r="M309">
        <v>1</v>
      </c>
      <c r="N309">
        <v>0.9912</v>
      </c>
      <c r="O309">
        <v>1</v>
      </c>
      <c r="P309">
        <v>1</v>
      </c>
      <c r="Q309">
        <v>0.9583</v>
      </c>
      <c r="R309">
        <v>0.9</v>
      </c>
      <c r="S309">
        <v>0.9038</v>
      </c>
      <c r="U309" t="str" xml:space="preserve">
        <v xml:space="preserve">- Kerusakan 3 unit pompa distribusi T1_x000d_
- Garbarata A5B2 kiri kerusakan PLC console desk_x000d_
- Kerusakan Salvage</v>
      </c>
      <c r="V309">
        <v>1</v>
      </c>
      <c r="W309">
        <v>1</v>
      </c>
      <c r="X309">
        <v>1</v>
      </c>
      <c r="Y309">
        <v>0</v>
      </c>
      <c r="Z309">
        <v>0.929</v>
      </c>
      <c r="AA309">
        <v>1</v>
      </c>
      <c r="AB309">
        <v>1</v>
      </c>
      <c r="AC309">
        <v>0.919</v>
      </c>
      <c r="AD309">
        <v>1</v>
      </c>
      <c r="AE309">
        <v>0.988</v>
      </c>
      <c r="AF309">
        <v>0.994</v>
      </c>
      <c r="AG309">
        <v>1</v>
      </c>
      <c r="AH30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09" t="str">
        <v>April</v>
      </c>
      <c r="AJ309" t="str">
        <v>2026</v>
      </c>
    </row>
    <row r="310" xml:space="preserve">
      <c r="A310">
        <v>46117</v>
      </c>
      <c r="B310" t="str">
        <v>Region 4</v>
      </c>
      <c r="C310" t="str">
        <v>Juanda Airport Surabaya</v>
      </c>
      <c r="D310" t="str">
        <v>SUB</v>
      </c>
      <c r="E310">
        <v>0.899999999999999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0.96</v>
      </c>
      <c r="M310">
        <v>1</v>
      </c>
      <c r="N310">
        <v>0.9912</v>
      </c>
      <c r="O310">
        <v>1</v>
      </c>
      <c r="P310">
        <v>1</v>
      </c>
      <c r="Q310">
        <v>0.9583</v>
      </c>
      <c r="R310">
        <v>0.9</v>
      </c>
      <c r="S310">
        <v>0.9038</v>
      </c>
      <c r="U310" t="str" xml:space="preserve">
        <v xml:space="preserve">- Kerusakan 3 unit pompa distribusi T1_x000d_
- Garbarata A5B2 kiri kerusakan PLC console desk_x000d_
- Kerusakan Salvage</v>
      </c>
      <c r="V310">
        <v>1</v>
      </c>
      <c r="W310">
        <v>1</v>
      </c>
      <c r="X310">
        <v>1</v>
      </c>
      <c r="Y310">
        <v>0</v>
      </c>
      <c r="Z310">
        <v>0.929</v>
      </c>
      <c r="AA310">
        <v>1</v>
      </c>
      <c r="AB310">
        <v>1</v>
      </c>
      <c r="AC310">
        <v>0.919</v>
      </c>
      <c r="AD310">
        <v>1</v>
      </c>
      <c r="AE310">
        <v>0.988</v>
      </c>
      <c r="AF310">
        <v>0.994</v>
      </c>
      <c r="AG310">
        <v>1</v>
      </c>
      <c r="AH31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0" t="str">
        <v>April</v>
      </c>
      <c r="AJ310" t="str">
        <v>2026</v>
      </c>
    </row>
    <row r="311" xml:space="preserve">
      <c r="A311">
        <v>46118</v>
      </c>
      <c r="B311" t="str">
        <v>Region 4</v>
      </c>
      <c r="C311" t="str">
        <v>Juanda Airport Surabaya</v>
      </c>
      <c r="D311" t="str">
        <v>SUB</v>
      </c>
      <c r="E311">
        <v>0.899999999999999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0.96</v>
      </c>
      <c r="M311">
        <v>1</v>
      </c>
      <c r="N311">
        <v>0.9912</v>
      </c>
      <c r="O311">
        <v>1</v>
      </c>
      <c r="P311">
        <v>1</v>
      </c>
      <c r="Q311">
        <v>0.9583</v>
      </c>
      <c r="R311">
        <v>0.9</v>
      </c>
      <c r="S311">
        <v>0.9038</v>
      </c>
      <c r="U311" t="str" xml:space="preserve">
        <v xml:space="preserve">- Kerusakan 3 unit pompa distribusi T1_x000d_
- Garbarata A5B2 kiri kerusakan PLC console desk_x000d_
- Kerusakan Salvage</v>
      </c>
      <c r="V311">
        <v>1</v>
      </c>
      <c r="W311">
        <v>1</v>
      </c>
      <c r="X311">
        <v>1</v>
      </c>
      <c r="Y311">
        <v>0</v>
      </c>
      <c r="Z311">
        <v>0.929</v>
      </c>
      <c r="AA311">
        <v>1</v>
      </c>
      <c r="AB311">
        <v>1</v>
      </c>
      <c r="AC311">
        <v>0.919</v>
      </c>
      <c r="AD311">
        <v>1</v>
      </c>
      <c r="AE311">
        <v>0.988</v>
      </c>
      <c r="AF311">
        <v>0.994</v>
      </c>
      <c r="AG311">
        <v>1</v>
      </c>
      <c r="AH31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1" t="str">
        <v>April</v>
      </c>
      <c r="AJ311" t="str">
        <v>2026</v>
      </c>
    </row>
    <row r="312" xml:space="preserve">
      <c r="A312">
        <v>46119</v>
      </c>
      <c r="B312" t="str">
        <v>Region 4</v>
      </c>
      <c r="C312" t="str">
        <v>Juanda Airport Surabaya</v>
      </c>
      <c r="D312" t="str">
        <v>SUB</v>
      </c>
      <c r="E312">
        <v>0.899999999999999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0.96</v>
      </c>
      <c r="M312">
        <v>1</v>
      </c>
      <c r="N312">
        <v>0.9912</v>
      </c>
      <c r="O312">
        <v>1</v>
      </c>
      <c r="P312">
        <v>1</v>
      </c>
      <c r="Q312">
        <v>0.9583</v>
      </c>
      <c r="R312">
        <v>0.9</v>
      </c>
      <c r="S312">
        <v>0.9038</v>
      </c>
      <c r="U312" t="str" xml:space="preserve">
        <v xml:space="preserve">- Kerusakan 3 unit pompa distribusi T1_x000d_
- Garbarata A5B2 kiri kerusakan PLC console desk_x000d_
- Kerusakan Salvage</v>
      </c>
      <c r="V312">
        <v>1</v>
      </c>
      <c r="W312">
        <v>1</v>
      </c>
      <c r="X312">
        <v>1</v>
      </c>
      <c r="Y312">
        <v>0</v>
      </c>
      <c r="Z312">
        <v>0.929</v>
      </c>
      <c r="AA312">
        <v>1</v>
      </c>
      <c r="AB312">
        <v>1</v>
      </c>
      <c r="AC312">
        <v>0.919</v>
      </c>
      <c r="AD312">
        <v>1</v>
      </c>
      <c r="AE312">
        <v>0.988</v>
      </c>
      <c r="AF312">
        <v>0.994</v>
      </c>
      <c r="AG312">
        <v>1</v>
      </c>
      <c r="AH31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2" t="str">
        <v>April</v>
      </c>
      <c r="AJ312" t="str">
        <v>2026</v>
      </c>
    </row>
    <row r="313" xml:space="preserve">
      <c r="A313">
        <v>46120</v>
      </c>
      <c r="B313" t="str">
        <v>Region 4</v>
      </c>
      <c r="C313" t="str">
        <v>Juanda Airport Surabaya</v>
      </c>
      <c r="D313" t="str">
        <v>SUB</v>
      </c>
      <c r="E313">
        <v>0.899999999999999</v>
      </c>
      <c r="F313">
        <v>1</v>
      </c>
      <c r="G313">
        <v>1</v>
      </c>
      <c r="H313">
        <v>1</v>
      </c>
      <c r="I313">
        <v>1</v>
      </c>
      <c r="J313">
        <v>0.958</v>
      </c>
      <c r="K313">
        <v>0.96</v>
      </c>
      <c r="L313" t="str">
        <v>- Kerusakan pada Battrey UPS 200 KVA No.1 Terminal 2 (Proses pelaksanaan Pekerjaan / Spare Part Indent) PO Nomor : 4400011396 TMT 10 Maret 2026 S.D 11 Juni 2026</v>
      </c>
      <c r="M313">
        <v>1</v>
      </c>
      <c r="N313">
        <v>0.9912</v>
      </c>
      <c r="O313">
        <v>1</v>
      </c>
      <c r="P313">
        <v>1</v>
      </c>
      <c r="Q313">
        <v>0.9583</v>
      </c>
      <c r="R313">
        <v>0.9</v>
      </c>
      <c r="S313">
        <v>0.9038</v>
      </c>
      <c r="U313" t="str" xml:space="preserve">
        <v xml:space="preserve">- Kerusakan 3 unit pompa distribusi T1_x000d_
- Garbarata A5B2 kiri kerusakan PLC console desk_x000d_
- Kerusakan Salvage</v>
      </c>
      <c r="V313">
        <v>1</v>
      </c>
      <c r="W313">
        <v>1</v>
      </c>
      <c r="X313">
        <v>1</v>
      </c>
      <c r="Y313">
        <v>0</v>
      </c>
      <c r="Z313">
        <v>0.94</v>
      </c>
      <c r="AA313">
        <v>1</v>
      </c>
      <c r="AB313">
        <v>1</v>
      </c>
      <c r="AC313">
        <v>0.919</v>
      </c>
      <c r="AD313">
        <v>1</v>
      </c>
      <c r="AE313">
        <v>0.988</v>
      </c>
      <c r="AF313">
        <v>0.994</v>
      </c>
      <c r="AG313">
        <v>1</v>
      </c>
      <c r="AH31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3" t="str">
        <v>April</v>
      </c>
      <c r="AJ313" t="str">
        <v>2026</v>
      </c>
    </row>
    <row r="314" xml:space="preserve">
      <c r="A314">
        <v>46121</v>
      </c>
      <c r="B314" t="str">
        <v>Region 4</v>
      </c>
      <c r="C314" t="str">
        <v>Juanda Airport Surabaya</v>
      </c>
      <c r="D314" t="str">
        <v>SUB</v>
      </c>
      <c r="E314">
        <v>0.899999999999999</v>
      </c>
      <c r="F314">
        <v>1</v>
      </c>
      <c r="G314">
        <v>1</v>
      </c>
      <c r="H314">
        <v>1</v>
      </c>
      <c r="I314">
        <v>1</v>
      </c>
      <c r="J314">
        <v>0.958</v>
      </c>
      <c r="K314">
        <v>0.96</v>
      </c>
      <c r="L314" t="str">
        <v>- Kerusakan pada Battrey UPS 200 KVA No.1 Terminal 2 (Proses pelaksanaan Pekerjaan / Spare Part Indent) PO Nomor : 4400011396 TMT 10 Maret 2026 S.D 11 Juni 2026</v>
      </c>
      <c r="M314">
        <v>1</v>
      </c>
      <c r="N314">
        <v>0.9912</v>
      </c>
      <c r="O314">
        <v>1</v>
      </c>
      <c r="P314">
        <v>1</v>
      </c>
      <c r="Q314">
        <v>0.9583</v>
      </c>
      <c r="R314">
        <v>0.9</v>
      </c>
      <c r="S314">
        <v>0.9038</v>
      </c>
      <c r="U314" t="str" xml:space="preserve">
        <v xml:space="preserve">- Kerusakan 3 unit pompa distribusi T1_x000d_
- Garbarata A5B2 kiri kerusakan PLC console desk_x000d_
- Kerusakan Salvage</v>
      </c>
      <c r="V314">
        <v>1</v>
      </c>
      <c r="W314">
        <v>1</v>
      </c>
      <c r="X314">
        <v>1</v>
      </c>
      <c r="Y314">
        <v>0</v>
      </c>
      <c r="Z314">
        <v>0.94</v>
      </c>
      <c r="AA314">
        <v>1</v>
      </c>
      <c r="AB314">
        <v>1</v>
      </c>
      <c r="AC314">
        <v>0.919</v>
      </c>
      <c r="AD314">
        <v>1</v>
      </c>
      <c r="AE314">
        <v>0.988</v>
      </c>
      <c r="AF314">
        <v>0.994</v>
      </c>
      <c r="AG314">
        <v>1</v>
      </c>
      <c r="AH31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4" t="str">
        <v>April</v>
      </c>
      <c r="AJ314" t="str">
        <v>2026</v>
      </c>
    </row>
    <row r="315" xml:space="preserve">
      <c r="A315">
        <v>46122</v>
      </c>
      <c r="B315" t="str">
        <v>Region 4</v>
      </c>
      <c r="C315" t="str">
        <v>Juanda Airport Surabaya</v>
      </c>
      <c r="D315" t="str">
        <v>SUB</v>
      </c>
      <c r="E315">
        <v>0.899999999999999</v>
      </c>
      <c r="F315">
        <v>1</v>
      </c>
      <c r="G315">
        <v>1</v>
      </c>
      <c r="H315">
        <v>1</v>
      </c>
      <c r="I315">
        <v>1</v>
      </c>
      <c r="J315">
        <v>0.958</v>
      </c>
      <c r="K315">
        <v>0.96</v>
      </c>
      <c r="L315" t="str">
        <v>- Kerusakan pada Battrey UPS 200 KVA No.1 Terminal 2 (Proses pelaksanaan Pekerjaan / Spare Part Indent) PO Nomor : 4400011396 TMT 10 Maret 2026 S.D 11 Juni 2026</v>
      </c>
      <c r="M315">
        <v>1</v>
      </c>
      <c r="N315">
        <v>0.9912</v>
      </c>
      <c r="O315">
        <v>1</v>
      </c>
      <c r="P315">
        <v>1</v>
      </c>
      <c r="Q315">
        <v>0.9583</v>
      </c>
      <c r="R315">
        <v>0.9</v>
      </c>
      <c r="S315">
        <v>0.9038</v>
      </c>
      <c r="U315" t="str" xml:space="preserve">
        <v xml:space="preserve">- Kerusakan 3 unit pompa distribusi T1_x000d_
- Garbarata A5B2 kiri kerusakan PLC console desk_x000d_
- Kerusakan Salvage</v>
      </c>
      <c r="V315">
        <v>1</v>
      </c>
      <c r="W315">
        <v>1</v>
      </c>
      <c r="X315">
        <v>1</v>
      </c>
      <c r="Y315">
        <v>0</v>
      </c>
      <c r="Z315">
        <v>0.94</v>
      </c>
      <c r="AA315">
        <v>1</v>
      </c>
      <c r="AB315">
        <v>1</v>
      </c>
      <c r="AC315">
        <v>0.919</v>
      </c>
      <c r="AD315">
        <v>1</v>
      </c>
      <c r="AE315">
        <v>0.988</v>
      </c>
      <c r="AF315">
        <v>0.994</v>
      </c>
      <c r="AG315">
        <v>1</v>
      </c>
      <c r="AH31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5" t="str">
        <v>April</v>
      </c>
      <c r="AJ315" t="str">
        <v>2026</v>
      </c>
    </row>
    <row r="316" xml:space="preserve">
      <c r="A316">
        <v>46123</v>
      </c>
      <c r="B316" t="str">
        <v>Region 4</v>
      </c>
      <c r="C316" t="str">
        <v>Juanda Airport Surabaya</v>
      </c>
      <c r="D316" t="str">
        <v>SUB</v>
      </c>
      <c r="E316">
        <v>0.899999999999999</v>
      </c>
      <c r="F316">
        <v>1</v>
      </c>
      <c r="G316">
        <v>1</v>
      </c>
      <c r="H316">
        <v>1</v>
      </c>
      <c r="I316">
        <v>1</v>
      </c>
      <c r="J316">
        <v>0.958</v>
      </c>
      <c r="K316">
        <v>0.96</v>
      </c>
      <c r="L316" t="str">
        <v>- Kerusakan pada Battrey UPS 200 KVA No.1 Terminal 2 (Proses pelaksanaan Pekerjaan / Spare Part Indent) PO Nomor : 4400011396 TMT 10 Maret 2026 S.D 11 Juni 2026</v>
      </c>
      <c r="M316">
        <v>1</v>
      </c>
      <c r="N316">
        <v>0.9912</v>
      </c>
      <c r="O316">
        <v>1</v>
      </c>
      <c r="P316">
        <v>1</v>
      </c>
      <c r="Q316">
        <v>0.9583</v>
      </c>
      <c r="R316">
        <v>0.9</v>
      </c>
      <c r="S316">
        <v>0.9038</v>
      </c>
      <c r="U316" t="str" xml:space="preserve">
        <v xml:space="preserve">- Kerusakan 3 unit pompa distribusi T1_x000d_
- Garbarata A5B2 kiri kerusakan PLC console desk_x000d_
- Kerusakan Salvage</v>
      </c>
      <c r="V316">
        <v>1</v>
      </c>
      <c r="W316">
        <v>1</v>
      </c>
      <c r="X316">
        <v>1</v>
      </c>
      <c r="Y316">
        <v>0</v>
      </c>
      <c r="Z316">
        <v>0.94</v>
      </c>
      <c r="AA316">
        <v>1</v>
      </c>
      <c r="AB316">
        <v>1</v>
      </c>
      <c r="AC316">
        <v>0.919</v>
      </c>
      <c r="AD316">
        <v>1</v>
      </c>
      <c r="AE316">
        <v>0.988</v>
      </c>
      <c r="AF316">
        <v>0.994</v>
      </c>
      <c r="AG316">
        <v>1</v>
      </c>
      <c r="AH31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6" t="str">
        <v>April</v>
      </c>
      <c r="AJ316" t="str">
        <v>2026</v>
      </c>
    </row>
    <row r="317" xml:space="preserve">
      <c r="A317">
        <v>46124</v>
      </c>
      <c r="B317" t="str">
        <v>Region 4</v>
      </c>
      <c r="C317" t="str">
        <v>Juanda Airport Surabaya</v>
      </c>
      <c r="D317" t="str">
        <v>SUB</v>
      </c>
      <c r="E317">
        <v>0.899999999999999</v>
      </c>
      <c r="F317">
        <v>1</v>
      </c>
      <c r="G317">
        <v>1</v>
      </c>
      <c r="H317">
        <v>1</v>
      </c>
      <c r="I317">
        <v>1</v>
      </c>
      <c r="J317">
        <v>0.958</v>
      </c>
      <c r="K317">
        <v>0.96</v>
      </c>
      <c r="L317" t="str">
        <v>- Kerusakan pada Battrey UPS 200 KVA No.1 Terminal 2 (Proses pelaksanaan Pekerjaan / Spare Part Indent) PO Nomor : 4400011396 TMT 10 Maret 2026 S.D 11 Juni 2026</v>
      </c>
      <c r="M317">
        <v>1</v>
      </c>
      <c r="N317">
        <v>0.9912</v>
      </c>
      <c r="O317">
        <v>1</v>
      </c>
      <c r="P317">
        <v>1</v>
      </c>
      <c r="Q317">
        <v>0.9583</v>
      </c>
      <c r="R317">
        <v>0.9</v>
      </c>
      <c r="S317">
        <v>0.9038</v>
      </c>
      <c r="U317" t="str" xml:space="preserve">
        <v xml:space="preserve">- Kerusakan 3 unit pompa distribusi T1_x000d_
- Garbarata A5B2 kiri kerusakan PLC console desk_x000d_
- Kerusakan Salvage</v>
      </c>
      <c r="V317">
        <v>1</v>
      </c>
      <c r="W317">
        <v>1</v>
      </c>
      <c r="X317">
        <v>1</v>
      </c>
      <c r="Y317">
        <v>0</v>
      </c>
      <c r="Z317">
        <v>0.94</v>
      </c>
      <c r="AA317">
        <v>1</v>
      </c>
      <c r="AB317">
        <v>1</v>
      </c>
      <c r="AC317">
        <v>0.919</v>
      </c>
      <c r="AD317">
        <v>1</v>
      </c>
      <c r="AE317">
        <v>0.988</v>
      </c>
      <c r="AF317">
        <v>0.994</v>
      </c>
      <c r="AG317">
        <v>1</v>
      </c>
      <c r="AH31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7" t="str">
        <v>April</v>
      </c>
      <c r="AJ317" t="str">
        <v>2026</v>
      </c>
    </row>
    <row r="318" xml:space="preserve">
      <c r="A318">
        <v>46125</v>
      </c>
      <c r="B318" t="str">
        <v>Region 4</v>
      </c>
      <c r="C318" t="str">
        <v>Juanda Airport Surabaya</v>
      </c>
      <c r="D318" t="str">
        <v>SUB</v>
      </c>
      <c r="E318">
        <v>0.899999999999999</v>
      </c>
      <c r="F318">
        <v>1</v>
      </c>
      <c r="G318">
        <v>1</v>
      </c>
      <c r="H318">
        <v>1</v>
      </c>
      <c r="I318">
        <v>1</v>
      </c>
      <c r="J318">
        <v>0.958</v>
      </c>
      <c r="K318">
        <v>0.96</v>
      </c>
      <c r="L318" t="str">
        <v>- Kerusakan pada Battrey UPS 200 KVA No.1 Terminal 2 (Proses pelaksanaan Pekerjaan / Spare Part Indent) PO Nomor : 4400011396 TMT 10 Maret 2026 S.D 11 Juni 2026</v>
      </c>
      <c r="M318">
        <v>1</v>
      </c>
      <c r="N318">
        <v>0.9912</v>
      </c>
      <c r="O318">
        <v>1</v>
      </c>
      <c r="P318">
        <v>1</v>
      </c>
      <c r="Q318">
        <v>0.9583</v>
      </c>
      <c r="R318">
        <v>0.9</v>
      </c>
      <c r="S318">
        <v>0.9038</v>
      </c>
      <c r="U318" t="str" xml:space="preserve">
        <v xml:space="preserve">- Kerusakan 3 unit pompa distribusi T1_x000d_
- Garbarata A5B2 kiri kerusakan PLC console desk_x000d_
- Kerusakan Salvage</v>
      </c>
      <c r="V318">
        <v>1</v>
      </c>
      <c r="W318">
        <v>1</v>
      </c>
      <c r="X318">
        <v>1</v>
      </c>
      <c r="Y318">
        <v>0</v>
      </c>
      <c r="Z318">
        <v>0.94</v>
      </c>
      <c r="AA318">
        <v>1</v>
      </c>
      <c r="AB318">
        <v>1</v>
      </c>
      <c r="AC318">
        <v>0.919</v>
      </c>
      <c r="AD318">
        <v>1</v>
      </c>
      <c r="AE318">
        <v>0.988</v>
      </c>
      <c r="AF318">
        <v>0.994</v>
      </c>
      <c r="AG318">
        <v>1</v>
      </c>
      <c r="AH31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8" t="str">
        <v>April</v>
      </c>
      <c r="AJ318" t="str">
        <v>2026</v>
      </c>
    </row>
    <row r="319" xml:space="preserve">
      <c r="A319">
        <v>46126</v>
      </c>
      <c r="B319" t="str">
        <v>Region 4</v>
      </c>
      <c r="C319" t="str">
        <v>Juanda Airport Surabaya</v>
      </c>
      <c r="D319" t="str">
        <v>SUB</v>
      </c>
      <c r="E319">
        <v>0.899999999999999</v>
      </c>
      <c r="F319">
        <v>1</v>
      </c>
      <c r="G319">
        <v>1</v>
      </c>
      <c r="H319">
        <v>1</v>
      </c>
      <c r="I319">
        <v>1</v>
      </c>
      <c r="J319">
        <v>0.958</v>
      </c>
      <c r="K319">
        <v>0.96</v>
      </c>
      <c r="L319" t="str">
        <v>- Kerusakan pada Battrey UPS 200 KVA No.1 Terminal 2 (Proses pelaksanaan Pekerjaan / Spare Part Indent) PO Nomor : 4400011396 TMT 10 Maret 2026 S.D 11 Juni 2026</v>
      </c>
      <c r="M319">
        <v>1</v>
      </c>
      <c r="N319">
        <v>0.9912</v>
      </c>
      <c r="O319">
        <v>1</v>
      </c>
      <c r="P319">
        <v>1</v>
      </c>
      <c r="Q319">
        <v>0.9583</v>
      </c>
      <c r="R319">
        <v>0.9</v>
      </c>
      <c r="S319">
        <v>0.9038</v>
      </c>
      <c r="U319" t="str" xml:space="preserve">
        <v xml:space="preserve">- Kerusakan 3 unit pompa distribusi T1_x000d_
- Garbarata A5B2 kiri kerusakan PLC console desk_x000d_
- Kerusakan Salvage</v>
      </c>
      <c r="V319">
        <v>1</v>
      </c>
      <c r="W319">
        <v>1</v>
      </c>
      <c r="X319">
        <v>1</v>
      </c>
      <c r="Y319">
        <v>0</v>
      </c>
      <c r="Z319">
        <v>0.942</v>
      </c>
      <c r="AA319">
        <v>1</v>
      </c>
      <c r="AB319">
        <v>1</v>
      </c>
      <c r="AC319">
        <v>0.919</v>
      </c>
      <c r="AD319">
        <v>1</v>
      </c>
      <c r="AE319">
        <v>0.988</v>
      </c>
      <c r="AF319">
        <v>0.994</v>
      </c>
      <c r="AG319">
        <v>1</v>
      </c>
      <c r="AH31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19" t="str">
        <v>April</v>
      </c>
      <c r="AJ319" t="str">
        <v>2026</v>
      </c>
    </row>
    <row r="320" xml:space="preserve">
      <c r="A320">
        <v>46127</v>
      </c>
      <c r="B320" t="str">
        <v>Region 4</v>
      </c>
      <c r="C320" t="str">
        <v>Juanda Airport Surabaya</v>
      </c>
      <c r="D320" t="str">
        <v>SUB</v>
      </c>
      <c r="E320">
        <v>0.899999999999999</v>
      </c>
      <c r="F320">
        <v>1</v>
      </c>
      <c r="G320">
        <v>1</v>
      </c>
      <c r="H320">
        <v>1</v>
      </c>
      <c r="I320">
        <v>1</v>
      </c>
      <c r="J320">
        <v>0.958</v>
      </c>
      <c r="K320">
        <v>0.96</v>
      </c>
      <c r="L320" t="str">
        <v>- Kerusakan pada Battrey UPS 200 KVA No.1 Terminal 2 (Proses pelaksanaan Pekerjaan / Spare Part Indent) PO Nomor : 4400011396 TMT 10 Maret 2026 S.D 11 Juni 2026</v>
      </c>
      <c r="M320">
        <v>1</v>
      </c>
      <c r="N320">
        <v>0.9912</v>
      </c>
      <c r="O320">
        <v>1</v>
      </c>
      <c r="P320">
        <v>1</v>
      </c>
      <c r="Q320">
        <v>0.9583</v>
      </c>
      <c r="R320">
        <v>0.9</v>
      </c>
      <c r="S320">
        <v>0.9038</v>
      </c>
      <c r="U320" t="str" xml:space="preserve">
        <v xml:space="preserve">- Kerusakan 3 unit pompa distribusi T1_x000d_
- Garbarata A5B2 kiri kerusakan PLC console desk_x000d_
- Kerusakan Salvage</v>
      </c>
      <c r="V320">
        <v>1</v>
      </c>
      <c r="W320">
        <v>1</v>
      </c>
      <c r="X320">
        <v>1</v>
      </c>
      <c r="Y320">
        <v>0</v>
      </c>
      <c r="Z320">
        <v>0.942</v>
      </c>
      <c r="AA320">
        <v>1</v>
      </c>
      <c r="AB320">
        <v>1</v>
      </c>
      <c r="AC320">
        <v>0.919</v>
      </c>
      <c r="AD320">
        <v>1</v>
      </c>
      <c r="AE320">
        <v>0.988</v>
      </c>
      <c r="AF320">
        <v>0.994</v>
      </c>
      <c r="AG320">
        <v>1</v>
      </c>
      <c r="AH32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0" t="str">
        <v>April</v>
      </c>
      <c r="AJ320" t="str">
        <v>2026</v>
      </c>
    </row>
    <row r="321" xml:space="preserve">
      <c r="A321">
        <v>46128</v>
      </c>
      <c r="B321" t="str">
        <v>Region 4</v>
      </c>
      <c r="C321" t="str">
        <v>Juanda Airport Surabaya</v>
      </c>
      <c r="D321" t="str">
        <v>SUB</v>
      </c>
      <c r="E321">
        <v>0.899999999999999</v>
      </c>
      <c r="F321">
        <v>1</v>
      </c>
      <c r="G321">
        <v>1</v>
      </c>
      <c r="H321">
        <v>1</v>
      </c>
      <c r="I321">
        <v>1</v>
      </c>
      <c r="J321">
        <v>0.958</v>
      </c>
      <c r="K321">
        <v>0.96</v>
      </c>
      <c r="L321" t="str">
        <v>- Kerusakan pada Battrey UPS 200 KVA No.1 Terminal 2 (Proses pelaksanaan Pekerjaan / Spare Part Indent) PO Nomor : 4400011396 TMT 10 Maret 2026 S.D 11 Juni 2026</v>
      </c>
      <c r="M321">
        <v>1</v>
      </c>
      <c r="N321">
        <v>0.9912</v>
      </c>
      <c r="O321">
        <v>1</v>
      </c>
      <c r="P321">
        <v>1</v>
      </c>
      <c r="Q321">
        <v>0.9583</v>
      </c>
      <c r="R321">
        <v>0.9</v>
      </c>
      <c r="S321">
        <v>0.9038</v>
      </c>
      <c r="U321" t="str" xml:space="preserve">
        <v xml:space="preserve">- Kerusakan 3 unit pompa distribusi T1_x000d_
- Garbarata A5B2 kiri kerusakan PLC console desk_x000d_
- Kerusakan Salvage</v>
      </c>
      <c r="V321">
        <v>1</v>
      </c>
      <c r="W321">
        <v>1</v>
      </c>
      <c r="X321">
        <v>1</v>
      </c>
      <c r="Y321">
        <v>0</v>
      </c>
      <c r="Z321">
        <v>0.942</v>
      </c>
      <c r="AA321">
        <v>1</v>
      </c>
      <c r="AB321">
        <v>1</v>
      </c>
      <c r="AC321">
        <v>0.919</v>
      </c>
      <c r="AD321">
        <v>1</v>
      </c>
      <c r="AE321">
        <v>0.988</v>
      </c>
      <c r="AF321">
        <v>0.994</v>
      </c>
      <c r="AG321">
        <v>1</v>
      </c>
      <c r="AH32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1" t="str">
        <v>April</v>
      </c>
      <c r="AJ321" t="str">
        <v>2026</v>
      </c>
    </row>
    <row r="322" xml:space="preserve">
      <c r="A322">
        <v>46129</v>
      </c>
      <c r="B322" t="str">
        <v>Region 4</v>
      </c>
      <c r="C322" t="str">
        <v>Juanda Airport Surabaya</v>
      </c>
      <c r="D322" t="str">
        <v>SUB</v>
      </c>
      <c r="E322">
        <v>0.899999999999999</v>
      </c>
      <c r="F322">
        <v>1</v>
      </c>
      <c r="G322">
        <v>1</v>
      </c>
      <c r="H322">
        <v>1</v>
      </c>
      <c r="I322">
        <v>1</v>
      </c>
      <c r="J322">
        <v>0.958</v>
      </c>
      <c r="K322">
        <v>0.96</v>
      </c>
      <c r="L322" t="str">
        <v>- Kerusakan pada Battrey UPS 200 KVA No.1 Terminal 2 (Proses pelaksanaan Pekerjaan / Spare Part Indent) PO Nomor : 4400011396 TMT 10 Maret 2026 S.D 11 Juni 2026</v>
      </c>
      <c r="M322">
        <v>1</v>
      </c>
      <c r="N322">
        <v>0.9912</v>
      </c>
      <c r="O322">
        <v>1</v>
      </c>
      <c r="P322">
        <v>1</v>
      </c>
      <c r="Q322">
        <v>0.9583</v>
      </c>
      <c r="R322">
        <v>0.9</v>
      </c>
      <c r="S322">
        <v>0.9038</v>
      </c>
      <c r="U322" t="str" xml:space="preserve">
        <v xml:space="preserve">- Kerusakan 3 unit pompa distribusi T1_x000d_
- Garbarata A5B2 kiri kerusakan PLC console desk_x000d_
- Kerusakan Salvage</v>
      </c>
      <c r="V322">
        <v>1</v>
      </c>
      <c r="W322">
        <v>1</v>
      </c>
      <c r="X322">
        <v>1</v>
      </c>
      <c r="Y322">
        <v>0</v>
      </c>
      <c r="Z322">
        <v>0.942</v>
      </c>
      <c r="AA322">
        <v>1</v>
      </c>
      <c r="AB322">
        <v>1</v>
      </c>
      <c r="AC322">
        <v>0.919</v>
      </c>
      <c r="AD322">
        <v>1</v>
      </c>
      <c r="AE322">
        <v>0.988</v>
      </c>
      <c r="AF322">
        <v>0.994</v>
      </c>
      <c r="AG322">
        <v>1</v>
      </c>
      <c r="AH32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2" t="str">
        <v>April</v>
      </c>
      <c r="AJ322" t="str">
        <v>2026</v>
      </c>
    </row>
    <row r="323" xml:space="preserve">
      <c r="A323">
        <v>46130</v>
      </c>
      <c r="B323" t="str">
        <v>Region 4</v>
      </c>
      <c r="C323" t="str">
        <v>Juanda Airport Surabaya</v>
      </c>
      <c r="D323" t="str">
        <v>SUB</v>
      </c>
      <c r="E323">
        <v>0.899999999999999</v>
      </c>
      <c r="F323">
        <v>1</v>
      </c>
      <c r="G323">
        <v>1</v>
      </c>
      <c r="H323">
        <v>1</v>
      </c>
      <c r="I323">
        <v>1</v>
      </c>
      <c r="J323">
        <v>0.958</v>
      </c>
      <c r="K323">
        <v>0.96</v>
      </c>
      <c r="L323" t="str">
        <v>- Kerusakan pada Battrey UPS 200 KVA No.1 Terminal 2 (Proses pelaksanaan Pekerjaan / Spare Part Indent) PO Nomor : 4400011396 TMT 10 Maret 2026 S.D 11 Juni 2026</v>
      </c>
      <c r="M323">
        <v>1</v>
      </c>
      <c r="N323">
        <v>0.9912</v>
      </c>
      <c r="O323">
        <v>1</v>
      </c>
      <c r="P323">
        <v>1</v>
      </c>
      <c r="Q323">
        <v>0.9583</v>
      </c>
      <c r="R323">
        <v>0.9</v>
      </c>
      <c r="S323">
        <v>0.9038</v>
      </c>
      <c r="U323" t="str" xml:space="preserve">
        <v xml:space="preserve">- Kerusakan 3 unit pompa distribusi T1_x000d_
- Garbarata A5B2 kiri kerusakan PLC console desk_x000d_
- Kerusakan Salvage</v>
      </c>
      <c r="V323">
        <v>1</v>
      </c>
      <c r="W323">
        <v>1</v>
      </c>
      <c r="X323">
        <v>1</v>
      </c>
      <c r="Y323">
        <v>0</v>
      </c>
      <c r="Z323">
        <v>0.942</v>
      </c>
      <c r="AA323">
        <v>1</v>
      </c>
      <c r="AB323">
        <v>1</v>
      </c>
      <c r="AC323">
        <v>0.919</v>
      </c>
      <c r="AD323">
        <v>1</v>
      </c>
      <c r="AE323">
        <v>0.988</v>
      </c>
      <c r="AF323">
        <v>0.994</v>
      </c>
      <c r="AG323">
        <v>1</v>
      </c>
      <c r="AH32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3" t="str">
        <v>April</v>
      </c>
      <c r="AJ323" t="str">
        <v>2026</v>
      </c>
    </row>
    <row r="324" xml:space="preserve">
      <c r="A324">
        <v>46131</v>
      </c>
      <c r="B324" t="str">
        <v>Region 4</v>
      </c>
      <c r="C324" t="str">
        <v>Juanda Airport Surabaya</v>
      </c>
      <c r="D324" t="str">
        <v>SUB</v>
      </c>
      <c r="E324">
        <v>0.899999999999999</v>
      </c>
      <c r="F324">
        <v>1</v>
      </c>
      <c r="G324">
        <v>1</v>
      </c>
      <c r="H324">
        <v>1</v>
      </c>
      <c r="I324">
        <v>1</v>
      </c>
      <c r="J324">
        <v>0.958</v>
      </c>
      <c r="K324">
        <v>0.96</v>
      </c>
      <c r="L324" t="str">
        <v>- Kerusakan pada Battrey UPS 200 KVA No.1 Terminal 2 (Proses pelaksanaan Pekerjaan / Spare Part Indent) PO Nomor : 4400011396 TMT 10 Maret 2026 S.D 11 Juni 2026</v>
      </c>
      <c r="M324">
        <v>1</v>
      </c>
      <c r="N324">
        <v>0.9912</v>
      </c>
      <c r="O324">
        <v>1</v>
      </c>
      <c r="P324">
        <v>1</v>
      </c>
      <c r="Q324">
        <v>0.9583</v>
      </c>
      <c r="R324">
        <v>0.9</v>
      </c>
      <c r="S324">
        <v>0.9038</v>
      </c>
      <c r="U324" t="str" xml:space="preserve">
        <v xml:space="preserve">- Kerusakan 3 unit pompa distribusi T1_x000d_
- Garbarata A5B2 kiri kerusakan PLC console desk_x000d_
- Kerusakan Salvage</v>
      </c>
      <c r="V324">
        <v>1</v>
      </c>
      <c r="W324">
        <v>1</v>
      </c>
      <c r="X324">
        <v>1</v>
      </c>
      <c r="Y324">
        <v>0</v>
      </c>
      <c r="Z324">
        <v>0.942</v>
      </c>
      <c r="AA324">
        <v>1</v>
      </c>
      <c r="AB324">
        <v>1</v>
      </c>
      <c r="AC324">
        <v>0.919</v>
      </c>
      <c r="AD324">
        <v>1</v>
      </c>
      <c r="AE324">
        <v>0.988</v>
      </c>
      <c r="AF324">
        <v>0.994</v>
      </c>
      <c r="AG324">
        <v>1</v>
      </c>
      <c r="AH32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4" t="str">
        <v>April</v>
      </c>
      <c r="AJ324" t="str">
        <v>2026</v>
      </c>
    </row>
    <row r="325" xml:space="preserve">
      <c r="A325">
        <v>46132</v>
      </c>
      <c r="B325" t="str">
        <v>Region 4</v>
      </c>
      <c r="C325" t="str">
        <v>Juanda Airport Surabaya</v>
      </c>
      <c r="D325" t="str">
        <v>SUB</v>
      </c>
      <c r="E325">
        <v>0.899999999999999</v>
      </c>
      <c r="F325">
        <v>1</v>
      </c>
      <c r="G325">
        <v>1</v>
      </c>
      <c r="H325">
        <v>1</v>
      </c>
      <c r="I325">
        <v>1</v>
      </c>
      <c r="J325">
        <v>0.958</v>
      </c>
      <c r="K325">
        <v>0.96</v>
      </c>
      <c r="L325" t="str">
        <v>- Kerusakan pada Battrey UPS 200 KVA No.1 Terminal 2 (Proses pelaksanaan Pekerjaan / Spare Part Indent) PO Nomor : 4400011396 TMT 10 Maret 2026 S.D 11 Juni 2026</v>
      </c>
      <c r="M325">
        <v>1</v>
      </c>
      <c r="N325">
        <v>0.9912</v>
      </c>
      <c r="O325">
        <v>1</v>
      </c>
      <c r="P325">
        <v>1</v>
      </c>
      <c r="Q325">
        <v>0.9583</v>
      </c>
      <c r="R325">
        <v>0.9</v>
      </c>
      <c r="S325">
        <v>0.9038</v>
      </c>
      <c r="U325" t="str" xml:space="preserve">
        <v xml:space="preserve">- Kerusakan 3 unit pompa distribusi T1_x000d_
- Garbarata A5B2 kiri kerusakan PLC console desk_x000d_
- Kerusakan Salvage</v>
      </c>
      <c r="V325">
        <v>1</v>
      </c>
      <c r="W325">
        <v>1</v>
      </c>
      <c r="X325">
        <v>1</v>
      </c>
      <c r="Y325">
        <v>0</v>
      </c>
      <c r="Z325">
        <v>0.942</v>
      </c>
      <c r="AA325">
        <v>1</v>
      </c>
      <c r="AB325">
        <v>1</v>
      </c>
      <c r="AC325">
        <v>0.919</v>
      </c>
      <c r="AD325">
        <v>1</v>
      </c>
      <c r="AE325">
        <v>0.988</v>
      </c>
      <c r="AF325">
        <v>0.994</v>
      </c>
      <c r="AG325">
        <v>1</v>
      </c>
      <c r="AH32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5" t="str">
        <v>April</v>
      </c>
      <c r="AJ325" t="str">
        <v>2026</v>
      </c>
    </row>
    <row r="326" xml:space="preserve">
      <c r="A326">
        <v>46133</v>
      </c>
      <c r="B326" t="str">
        <v>Region 4</v>
      </c>
      <c r="C326" t="str">
        <v>Juanda Airport Surabaya</v>
      </c>
      <c r="D326" t="str">
        <v>SUB</v>
      </c>
      <c r="E326">
        <v>0.899999999999999</v>
      </c>
      <c r="F326">
        <v>1</v>
      </c>
      <c r="G326">
        <v>1</v>
      </c>
      <c r="H326">
        <v>1</v>
      </c>
      <c r="I326">
        <v>1</v>
      </c>
      <c r="J326">
        <v>0.958</v>
      </c>
      <c r="K326">
        <v>0.96</v>
      </c>
      <c r="L326" t="str">
        <v>- Kerusakan pada Battrey UPS 200 KVA No.1 Terminal 2 (Proses pelaksanaan Pekerjaan / Spare Part Indent) PO Nomor : 4400011396 TMT 10 Maret 2026 S.D 11 Juni 2026</v>
      </c>
      <c r="M326">
        <v>1</v>
      </c>
      <c r="N326">
        <v>0.9912</v>
      </c>
      <c r="O326">
        <v>1</v>
      </c>
      <c r="P326">
        <v>1</v>
      </c>
      <c r="Q326">
        <v>0.9583</v>
      </c>
      <c r="R326">
        <v>0.9</v>
      </c>
      <c r="S326">
        <v>0.9038</v>
      </c>
      <c r="U326" t="str" xml:space="preserve">
        <v xml:space="preserve">- Kerusakan 3 unit pompa distribusi T1_x000d_
- Garbarata A5B2 kiri kerusakan PLC console desk_x000d_
- Kerusakan Salvage</v>
      </c>
      <c r="V326">
        <v>1</v>
      </c>
      <c r="W326">
        <v>1</v>
      </c>
      <c r="X326">
        <v>1</v>
      </c>
      <c r="Y326">
        <v>0</v>
      </c>
      <c r="Z326">
        <v>0.94</v>
      </c>
      <c r="AA326">
        <v>1</v>
      </c>
      <c r="AB326">
        <v>1</v>
      </c>
      <c r="AC326">
        <v>0.919</v>
      </c>
      <c r="AD326">
        <v>1</v>
      </c>
      <c r="AE326">
        <v>0.982</v>
      </c>
      <c r="AF326">
        <v>0.994</v>
      </c>
      <c r="AG326">
        <v>1</v>
      </c>
      <c r="AH32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6" t="str">
        <v>April</v>
      </c>
      <c r="AJ326" t="str">
        <v>2026</v>
      </c>
    </row>
    <row r="327" xml:space="preserve">
      <c r="A327">
        <v>46134</v>
      </c>
      <c r="B327" t="str">
        <v>Region 4</v>
      </c>
      <c r="C327" t="str">
        <v>Juanda Airport Surabaya</v>
      </c>
      <c r="D327" t="str">
        <v>SUB</v>
      </c>
      <c r="E327">
        <v>0.899999999999999</v>
      </c>
      <c r="F327">
        <v>1</v>
      </c>
      <c r="G327">
        <v>1</v>
      </c>
      <c r="H327">
        <v>1</v>
      </c>
      <c r="I327">
        <v>1</v>
      </c>
      <c r="J327">
        <v>0.958</v>
      </c>
      <c r="K327">
        <v>0.96</v>
      </c>
      <c r="L327" t="str">
        <v>- Kerusakan pada Battrey UPS 200 KVA No.1 Terminal 2 (Proses pelaksanaan Pekerjaan / Spare Part Indent) PO Nomor : 4400011396 TMT 10 Maret 2026 S.D 11 Juni 2026</v>
      </c>
      <c r="M327">
        <v>1</v>
      </c>
      <c r="N327">
        <v>0.9912</v>
      </c>
      <c r="O327">
        <v>1</v>
      </c>
      <c r="P327">
        <v>1</v>
      </c>
      <c r="Q327">
        <v>0.9583</v>
      </c>
      <c r="R327">
        <v>0.9</v>
      </c>
      <c r="S327">
        <v>0.9038</v>
      </c>
      <c r="U327" t="str" xml:space="preserve">
        <v xml:space="preserve">- Kerusakan 3 unit pompa distribusi T1_x000d_
- Garbarata A5B2 kiri kerusakan PLC console desk_x000d_
- Kerusakan Salvage</v>
      </c>
      <c r="V327">
        <v>1</v>
      </c>
      <c r="W327">
        <v>1</v>
      </c>
      <c r="X327">
        <v>1</v>
      </c>
      <c r="Y327">
        <v>0</v>
      </c>
      <c r="Z327">
        <v>0.94</v>
      </c>
      <c r="AA327">
        <v>1</v>
      </c>
      <c r="AB327">
        <v>1</v>
      </c>
      <c r="AC327">
        <v>0.919</v>
      </c>
      <c r="AD327">
        <v>1</v>
      </c>
      <c r="AE327">
        <v>0.982</v>
      </c>
      <c r="AF327">
        <v>0.994</v>
      </c>
      <c r="AG327">
        <v>1</v>
      </c>
      <c r="AH32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7" t="str">
        <v>April</v>
      </c>
      <c r="AJ327" t="str">
        <v>2026</v>
      </c>
    </row>
    <row r="328" xml:space="preserve">
      <c r="A328">
        <v>46135</v>
      </c>
      <c r="B328" t="str">
        <v>Region 4</v>
      </c>
      <c r="C328" t="str">
        <v>Juanda Airport Surabaya</v>
      </c>
      <c r="D328" t="str">
        <v>SUB</v>
      </c>
      <c r="E328">
        <v>0.899999999999999</v>
      </c>
      <c r="F328">
        <v>1</v>
      </c>
      <c r="G328">
        <v>1</v>
      </c>
      <c r="H328">
        <v>1</v>
      </c>
      <c r="I328">
        <v>1</v>
      </c>
      <c r="J328">
        <v>0.958</v>
      </c>
      <c r="K328">
        <v>0.96</v>
      </c>
      <c r="L328" t="str">
        <v>- Kerusakan pada Battrey UPS 200 KVA No.1 Terminal 2 (Proses pelaksanaan Pekerjaan / Spare Part Indent) PO Nomor : 4400011396 TMT 10 Maret 2026 S.D 11 Juni 2026</v>
      </c>
      <c r="M328">
        <v>1</v>
      </c>
      <c r="N328">
        <v>0.9912</v>
      </c>
      <c r="O328">
        <v>1</v>
      </c>
      <c r="P328">
        <v>1</v>
      </c>
      <c r="Q328">
        <v>0.9583</v>
      </c>
      <c r="R328">
        <v>0.9</v>
      </c>
      <c r="S328">
        <v>0.9038</v>
      </c>
      <c r="U328" t="str" xml:space="preserve">
        <v xml:space="preserve">- Kerusakan 3 unit pompa distribusi T1_x000d_
- Garbarata A5B2 kiri kerusakan PLC console desk_x000d_
- Kerusakan Salvage</v>
      </c>
      <c r="V328">
        <v>1</v>
      </c>
      <c r="W328">
        <v>1</v>
      </c>
      <c r="X328">
        <v>1</v>
      </c>
      <c r="Y328">
        <v>0</v>
      </c>
      <c r="Z328">
        <v>0.94</v>
      </c>
      <c r="AA328">
        <v>1</v>
      </c>
      <c r="AB328">
        <v>1</v>
      </c>
      <c r="AC328">
        <v>0.919</v>
      </c>
      <c r="AD328">
        <v>1</v>
      </c>
      <c r="AE328">
        <v>0.982</v>
      </c>
      <c r="AF328">
        <v>0.994</v>
      </c>
      <c r="AG328">
        <v>1</v>
      </c>
      <c r="AH32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8" t="str">
        <v>April</v>
      </c>
      <c r="AJ328" t="str">
        <v>2026</v>
      </c>
    </row>
    <row r="329" xml:space="preserve">
      <c r="A329">
        <v>46136</v>
      </c>
      <c r="B329" t="str">
        <v>Region 4</v>
      </c>
      <c r="C329" t="str">
        <v>Juanda Airport Surabaya</v>
      </c>
      <c r="D329" t="str">
        <v>SUB</v>
      </c>
      <c r="E329">
        <v>0.899999999999999</v>
      </c>
      <c r="F329">
        <v>1</v>
      </c>
      <c r="G329">
        <v>1</v>
      </c>
      <c r="H329">
        <v>1</v>
      </c>
      <c r="I329">
        <v>1</v>
      </c>
      <c r="J329">
        <v>0.958</v>
      </c>
      <c r="K329">
        <v>0.96</v>
      </c>
      <c r="L329" t="str">
        <v>- Kerusakan pada Battrey UPS 200 KVA No.1 Terminal 2 (Proses pelaksanaan Pekerjaan / Spare Part Indent) PO Nomor : 4400011396 TMT 10 Maret 2026 S.D 11 Juni 2026</v>
      </c>
      <c r="M329">
        <v>1</v>
      </c>
      <c r="N329">
        <v>0.9912</v>
      </c>
      <c r="O329">
        <v>1</v>
      </c>
      <c r="P329">
        <v>1</v>
      </c>
      <c r="Q329">
        <v>0.9583</v>
      </c>
      <c r="R329">
        <v>0.9</v>
      </c>
      <c r="S329">
        <v>0.9038</v>
      </c>
      <c r="U329" t="str" xml:space="preserve">
        <v xml:space="preserve">- Kerusakan 3 unit pompa distribusi T1_x000d_
- Garbarata A5B2 kiri kerusakan PLC console desk_x000d_
- Kerusakan Salvage</v>
      </c>
      <c r="V329">
        <v>1</v>
      </c>
      <c r="W329">
        <v>1</v>
      </c>
      <c r="X329">
        <v>1</v>
      </c>
      <c r="Y329">
        <v>0</v>
      </c>
      <c r="Z329">
        <v>0.94</v>
      </c>
      <c r="AA329">
        <v>1</v>
      </c>
      <c r="AB329">
        <v>1</v>
      </c>
      <c r="AC329">
        <v>0.919</v>
      </c>
      <c r="AD329">
        <v>1</v>
      </c>
      <c r="AE329">
        <v>0.982</v>
      </c>
      <c r="AF329">
        <v>0.994</v>
      </c>
      <c r="AG329">
        <v>1</v>
      </c>
      <c r="AH32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29" t="str">
        <v>April</v>
      </c>
      <c r="AJ329" t="str">
        <v>2026</v>
      </c>
    </row>
    <row r="330" xml:space="preserve">
      <c r="A330">
        <v>46137</v>
      </c>
      <c r="B330" t="str">
        <v>Region 4</v>
      </c>
      <c r="C330" t="str">
        <v>Juanda Airport Surabaya</v>
      </c>
      <c r="D330" t="str">
        <v>SUB</v>
      </c>
      <c r="E330">
        <v>0.899999999999999</v>
      </c>
      <c r="F330">
        <v>1</v>
      </c>
      <c r="G330">
        <v>1</v>
      </c>
      <c r="H330">
        <v>1</v>
      </c>
      <c r="I330">
        <v>1</v>
      </c>
      <c r="J330">
        <v>0.958</v>
      </c>
      <c r="K330">
        <v>0.96</v>
      </c>
      <c r="L330" t="str">
        <v>- Kerusakan pada Battrey UPS 200 KVA No.1 Terminal 2 (Proses pelaksanaan Pekerjaan / Spare Part Indent) PO Nomor : 4400011396 TMT 10 Maret 2026 S.D 11 Juni 2026</v>
      </c>
      <c r="M330">
        <v>1</v>
      </c>
      <c r="N330">
        <v>0.9912</v>
      </c>
      <c r="O330">
        <v>1</v>
      </c>
      <c r="P330">
        <v>1</v>
      </c>
      <c r="Q330">
        <v>0.9583</v>
      </c>
      <c r="R330">
        <v>0.9</v>
      </c>
      <c r="S330">
        <v>0.9038</v>
      </c>
      <c r="U330" t="str" xml:space="preserve">
        <v xml:space="preserve">- Kerusakan 3 unit pompa distribusi T1_x000d_
- Garbarata A5B2 kiri kerusakan PLC console desk_x000d_
- Kerusakan Salvage</v>
      </c>
      <c r="V330">
        <v>1</v>
      </c>
      <c r="W330">
        <v>1</v>
      </c>
      <c r="X330">
        <v>1</v>
      </c>
      <c r="Y330">
        <v>0</v>
      </c>
      <c r="Z330">
        <v>0.94</v>
      </c>
      <c r="AA330">
        <v>1</v>
      </c>
      <c r="AB330">
        <v>1</v>
      </c>
      <c r="AC330">
        <v>0.919</v>
      </c>
      <c r="AD330">
        <v>1</v>
      </c>
      <c r="AE330">
        <v>0.982</v>
      </c>
      <c r="AF330">
        <v>0.994</v>
      </c>
      <c r="AG330">
        <v>1</v>
      </c>
      <c r="AH33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0" t="str">
        <v>April</v>
      </c>
      <c r="AJ330" t="str">
        <v>2026</v>
      </c>
    </row>
    <row r="331" xml:space="preserve">
      <c r="A331">
        <v>46138</v>
      </c>
      <c r="B331" t="str">
        <v>Region 4</v>
      </c>
      <c r="C331" t="str">
        <v>Juanda Airport Surabaya</v>
      </c>
      <c r="D331" t="str">
        <v>SUB</v>
      </c>
      <c r="E331">
        <v>0.899999999999999</v>
      </c>
      <c r="F331">
        <v>1</v>
      </c>
      <c r="G331">
        <v>1</v>
      </c>
      <c r="H331">
        <v>1</v>
      </c>
      <c r="I331">
        <v>1</v>
      </c>
      <c r="J331">
        <v>0.958</v>
      </c>
      <c r="K331">
        <v>0.96</v>
      </c>
      <c r="L331" t="str">
        <v>- Kerusakan pada Battrey UPS 200 KVA No.1 Terminal 2 (Proses pelaksanaan Pekerjaan / Spare Part Indent) PO Nomor : 4400011396 TMT 10 Maret 2026 S.D 11 Juni 2026</v>
      </c>
      <c r="M331">
        <v>1</v>
      </c>
      <c r="N331">
        <v>0.9912</v>
      </c>
      <c r="O331">
        <v>1</v>
      </c>
      <c r="P331">
        <v>1</v>
      </c>
      <c r="Q331">
        <v>0.9583</v>
      </c>
      <c r="R331">
        <v>0.9</v>
      </c>
      <c r="S331">
        <v>0.9038</v>
      </c>
      <c r="U331" t="str" xml:space="preserve">
        <v xml:space="preserve">- Kerusakan 3 unit pompa distribusi T1_x000d_
- Garbarata A5B2 kiri kerusakan PLC console desk_x000d_
- Kerusakan Salvage</v>
      </c>
      <c r="V331">
        <v>1</v>
      </c>
      <c r="W331">
        <v>1</v>
      </c>
      <c r="X331">
        <v>1</v>
      </c>
      <c r="Y331">
        <v>0</v>
      </c>
      <c r="Z331">
        <v>0.94</v>
      </c>
      <c r="AA331">
        <v>1</v>
      </c>
      <c r="AB331">
        <v>1</v>
      </c>
      <c r="AC331">
        <v>0.919</v>
      </c>
      <c r="AD331">
        <v>1</v>
      </c>
      <c r="AE331">
        <v>0.982</v>
      </c>
      <c r="AF331">
        <v>0.994</v>
      </c>
      <c r="AG331">
        <v>1</v>
      </c>
      <c r="AH33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1" t="str">
        <v>April</v>
      </c>
      <c r="AJ331" t="str">
        <v>2026</v>
      </c>
    </row>
    <row r="332" xml:space="preserve">
      <c r="A332">
        <v>46139</v>
      </c>
      <c r="B332" t="str">
        <v>Region 4</v>
      </c>
      <c r="C332" t="str">
        <v>Juanda Airport Surabaya</v>
      </c>
      <c r="D332" t="str">
        <v>SUB</v>
      </c>
      <c r="E332">
        <v>0.899999999999999</v>
      </c>
      <c r="F332">
        <v>1</v>
      </c>
      <c r="G332">
        <v>1</v>
      </c>
      <c r="H332">
        <v>1</v>
      </c>
      <c r="I332">
        <v>1</v>
      </c>
      <c r="J332">
        <v>0.958</v>
      </c>
      <c r="K332">
        <v>0.96</v>
      </c>
      <c r="L332" t="str">
        <v>- Kerusakan pada Battrey UPS 200 KVA No.1 Terminal 2 (Proses pelaksanaan Pekerjaan / Spare Part Indent) PO Nomor : 4400011396 TMT 10 Maret 2026 S.D 11 Juni 2026</v>
      </c>
      <c r="M332">
        <v>1</v>
      </c>
      <c r="N332">
        <v>0.9912</v>
      </c>
      <c r="O332">
        <v>1</v>
      </c>
      <c r="P332">
        <v>1</v>
      </c>
      <c r="Q332">
        <v>0.9583</v>
      </c>
      <c r="R332">
        <v>0.9</v>
      </c>
      <c r="S332">
        <v>0.9038</v>
      </c>
      <c r="U332" t="str" xml:space="preserve">
        <v xml:space="preserve">- Kerusakan 3 unit pompa distribusi T1_x000d_
- Garbarata A5B2 kiri kerusakan PLC console desk_x000d_
- Kerusakan Salvage</v>
      </c>
      <c r="V332">
        <v>1</v>
      </c>
      <c r="W332">
        <v>1</v>
      </c>
      <c r="X332">
        <v>1</v>
      </c>
      <c r="Y332">
        <v>0</v>
      </c>
      <c r="Z332">
        <v>0.94</v>
      </c>
      <c r="AA332">
        <v>1</v>
      </c>
      <c r="AB332">
        <v>1</v>
      </c>
      <c r="AC332">
        <v>0.919</v>
      </c>
      <c r="AD332">
        <v>1</v>
      </c>
      <c r="AE332">
        <v>0.982</v>
      </c>
      <c r="AF332">
        <v>0.994</v>
      </c>
      <c r="AG332">
        <v>1</v>
      </c>
      <c r="AH33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2" t="str">
        <v>April</v>
      </c>
      <c r="AJ332" t="str">
        <v>2026</v>
      </c>
    </row>
    <row r="333" xml:space="preserve">
      <c r="A333">
        <v>46140</v>
      </c>
      <c r="B333" t="str">
        <v>Region 4</v>
      </c>
      <c r="C333" t="str">
        <v>Juanda Airport Surabaya</v>
      </c>
      <c r="D333" t="str">
        <v>SUB</v>
      </c>
      <c r="E333">
        <v>0.899999999999999</v>
      </c>
      <c r="F333">
        <v>1</v>
      </c>
      <c r="G333">
        <v>1</v>
      </c>
      <c r="H333">
        <v>1</v>
      </c>
      <c r="I333">
        <v>1</v>
      </c>
      <c r="J333">
        <v>0.958</v>
      </c>
      <c r="K333">
        <v>0.96</v>
      </c>
      <c r="L333" t="str">
        <v>- Kerusakan pada Battrey UPS 200 KVA No.1 Terminal 2 (Proses pelaksanaan Pekerjaan / Spare Part Indent) PO Nomor : 4400011396 TMT 10 Maret 2026 S.D 11 Juni 2026</v>
      </c>
      <c r="M333">
        <v>1</v>
      </c>
      <c r="N333">
        <v>0.9912</v>
      </c>
      <c r="O333">
        <v>1</v>
      </c>
      <c r="P333">
        <v>1</v>
      </c>
      <c r="Q333">
        <v>0.9583</v>
      </c>
      <c r="R333">
        <v>0.9</v>
      </c>
      <c r="S333">
        <v>0.9038</v>
      </c>
      <c r="U333" t="str" xml:space="preserve">
        <v xml:space="preserve">- Kerusakan 3 unit pompa distribusi T1_x000d_
- Garbarata A5B2 kiri kerusakan PLC console desk_x000d_
- Kerusakan Salvage</v>
      </c>
      <c r="V333">
        <v>1</v>
      </c>
      <c r="W333">
        <v>1</v>
      </c>
      <c r="X333">
        <v>1</v>
      </c>
      <c r="Y333">
        <v>0</v>
      </c>
      <c r="Z333">
        <v>0.94</v>
      </c>
      <c r="AA333">
        <v>1</v>
      </c>
      <c r="AB333">
        <v>1</v>
      </c>
      <c r="AC333">
        <v>0.919</v>
      </c>
      <c r="AD333">
        <v>1</v>
      </c>
      <c r="AE333">
        <v>0.982</v>
      </c>
      <c r="AF333">
        <v>0.994</v>
      </c>
      <c r="AG333">
        <v>1</v>
      </c>
      <c r="AH33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3" t="str">
        <v>April</v>
      </c>
      <c r="AJ333" t="str">
        <v>2026</v>
      </c>
    </row>
    <row r="334" xml:space="preserve">
      <c r="A334">
        <v>46141</v>
      </c>
      <c r="B334" t="str">
        <v>Region 4</v>
      </c>
      <c r="C334" t="str">
        <v>Juanda Airport Surabaya</v>
      </c>
      <c r="D334" t="str">
        <v>SUB</v>
      </c>
      <c r="E334">
        <v>0.899999999999999</v>
      </c>
      <c r="F334">
        <v>1</v>
      </c>
      <c r="G334">
        <v>1</v>
      </c>
      <c r="H334">
        <v>1</v>
      </c>
      <c r="I334">
        <v>1</v>
      </c>
      <c r="J334">
        <v>0.958</v>
      </c>
      <c r="K334">
        <v>0.96</v>
      </c>
      <c r="L334" t="str">
        <v>- Kerusakan pada Battrey UPS 200 KVA No.1 Terminal 2 (Proses pelaksanaan Pekerjaan / Spare Part Indent) PO Nomor : 4400011396 TMT 10 Maret 2026 S.D 11 Juni 2026</v>
      </c>
      <c r="M334">
        <v>1</v>
      </c>
      <c r="N334">
        <v>0.9912</v>
      </c>
      <c r="O334">
        <v>1</v>
      </c>
      <c r="P334">
        <v>1</v>
      </c>
      <c r="Q334">
        <v>0.9583</v>
      </c>
      <c r="R334">
        <v>0.9</v>
      </c>
      <c r="S334">
        <v>0.9038</v>
      </c>
      <c r="U334" t="str" xml:space="preserve">
        <v xml:space="preserve">- Kerusakan 3 unit pompa distribusi T1_x000d_
- Garbarata A5B2 kiri kerusakan PLC console desk_x000d_
- Kerusakan Salvage</v>
      </c>
      <c r="V334">
        <v>1</v>
      </c>
      <c r="W334">
        <v>1</v>
      </c>
      <c r="X334">
        <v>1</v>
      </c>
      <c r="Y334">
        <v>0</v>
      </c>
      <c r="Z334">
        <v>0.94</v>
      </c>
      <c r="AA334">
        <v>1</v>
      </c>
      <c r="AB334">
        <v>1</v>
      </c>
      <c r="AC334">
        <v>0.919</v>
      </c>
      <c r="AD334">
        <v>1</v>
      </c>
      <c r="AE334">
        <v>0.982</v>
      </c>
      <c r="AF334">
        <v>0.994</v>
      </c>
      <c r="AG334">
        <v>1</v>
      </c>
      <c r="AH33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4" t="str">
        <v>April</v>
      </c>
      <c r="AJ334" t="str">
        <v>2026</v>
      </c>
    </row>
    <row r="335" xml:space="preserve">
      <c r="A335">
        <v>46142</v>
      </c>
      <c r="B335" t="str">
        <v>Region 4</v>
      </c>
      <c r="C335" t="str">
        <v>Juanda Airport Surabaya</v>
      </c>
      <c r="D335" t="str">
        <v>SUB</v>
      </c>
      <c r="E335">
        <v>0.899999999999999</v>
      </c>
      <c r="F335">
        <v>1</v>
      </c>
      <c r="G335">
        <v>1</v>
      </c>
      <c r="H335">
        <v>1</v>
      </c>
      <c r="I335">
        <v>1</v>
      </c>
      <c r="J335">
        <v>0.958</v>
      </c>
      <c r="K335">
        <v>0.96</v>
      </c>
      <c r="L335" t="str">
        <v>- Kerusakan pada Battrey UPS 200 KVA No.1 Terminal 2 (Proses pelaksanaan Pekerjaan / Spare Part Indent) PO Nomor : 4400011396 TMT 10 Maret 2026 S.D 11 Juni 2026</v>
      </c>
      <c r="M335">
        <v>1</v>
      </c>
      <c r="N335">
        <v>0.9912</v>
      </c>
      <c r="O335">
        <v>1</v>
      </c>
      <c r="P335">
        <v>1</v>
      </c>
      <c r="Q335">
        <v>0.9583</v>
      </c>
      <c r="R335">
        <v>0.9</v>
      </c>
      <c r="S335">
        <v>0.9038</v>
      </c>
      <c r="U335" t="str" xml:space="preserve">
        <v xml:space="preserve">- Kerusakan 3 unit pompa distribusi T1_x000d_
- Garbarata A5B2 kiri kerusakan PLC console desk_x000d_
- Kerusakan Salvage</v>
      </c>
      <c r="V335">
        <v>1</v>
      </c>
      <c r="W335">
        <v>1</v>
      </c>
      <c r="X335">
        <v>1</v>
      </c>
      <c r="Y335">
        <v>0</v>
      </c>
      <c r="Z335">
        <v>0.94</v>
      </c>
      <c r="AA335">
        <v>1</v>
      </c>
      <c r="AB335">
        <v>1</v>
      </c>
      <c r="AC335">
        <v>0.919</v>
      </c>
      <c r="AD335">
        <v>1</v>
      </c>
      <c r="AE335">
        <v>0.982</v>
      </c>
      <c r="AF335">
        <v>0.994</v>
      </c>
      <c r="AG335">
        <v>1</v>
      </c>
      <c r="AH33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5" t="str">
        <v>April</v>
      </c>
      <c r="AJ335" t="str">
        <v>2026</v>
      </c>
    </row>
    <row r="336" xml:space="preserve">
      <c r="A336">
        <v>46143</v>
      </c>
      <c r="B336" t="str">
        <v>Region 4</v>
      </c>
      <c r="C336" t="str">
        <v>Juanda Airport Surabaya</v>
      </c>
      <c r="D336" t="str">
        <v>SUB</v>
      </c>
      <c r="E336">
        <v>0.899999999999999</v>
      </c>
      <c r="F336">
        <v>1</v>
      </c>
      <c r="G336">
        <v>1</v>
      </c>
      <c r="H336">
        <v>1</v>
      </c>
      <c r="I336">
        <v>1</v>
      </c>
      <c r="J336">
        <v>0.958</v>
      </c>
      <c r="K336">
        <v>0.96</v>
      </c>
      <c r="L336" t="str">
        <v>- Kerusakan pada Battrey UPS 200 KVA No.1 Terminal 2 (Proses pelaksanaan Pekerjaan / Spare Part Indent) PO Nomor : 4400011396 TMT 10 Maret 2026 S.D 11 Juni 2026</v>
      </c>
      <c r="M336">
        <v>1</v>
      </c>
      <c r="N336">
        <v>0.9912</v>
      </c>
      <c r="O336">
        <v>1</v>
      </c>
      <c r="P336">
        <v>1</v>
      </c>
      <c r="Q336">
        <v>0.9583</v>
      </c>
      <c r="R336">
        <v>0.9</v>
      </c>
      <c r="S336">
        <v>0.9038</v>
      </c>
      <c r="U336" t="str" xml:space="preserve">
        <v xml:space="preserve">- Kerusakan 3 unit pompa distribusi T1_x000d_
- Garbarata A5B2 kiri kerusakan PLC console desk_x000d_
- Kerusakan Salvage</v>
      </c>
      <c r="V336">
        <v>1</v>
      </c>
      <c r="W336">
        <v>1</v>
      </c>
      <c r="X336">
        <v>1</v>
      </c>
      <c r="Y336">
        <v>0</v>
      </c>
      <c r="Z336">
        <v>0.94</v>
      </c>
      <c r="AA336">
        <v>1</v>
      </c>
      <c r="AB336">
        <v>1</v>
      </c>
      <c r="AC336">
        <v>0.919</v>
      </c>
      <c r="AD336">
        <v>1</v>
      </c>
      <c r="AE336">
        <v>0.982</v>
      </c>
      <c r="AF336">
        <v>0.994</v>
      </c>
      <c r="AG336">
        <v>1</v>
      </c>
      <c r="AH33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6" t="str">
        <v>May</v>
      </c>
      <c r="AJ336" t="str">
        <v>2026</v>
      </c>
    </row>
    <row r="337" xml:space="preserve">
      <c r="A337">
        <v>46144</v>
      </c>
      <c r="B337" t="str">
        <v>Region 4</v>
      </c>
      <c r="C337" t="str">
        <v>Juanda Airport Surabaya</v>
      </c>
      <c r="D337" t="str">
        <v>SUB</v>
      </c>
      <c r="E337">
        <v>0.899999999999999</v>
      </c>
      <c r="F337">
        <v>1</v>
      </c>
      <c r="G337">
        <v>1</v>
      </c>
      <c r="H337">
        <v>1</v>
      </c>
      <c r="I337">
        <v>1</v>
      </c>
      <c r="J337">
        <v>0.958</v>
      </c>
      <c r="K337">
        <v>0.96</v>
      </c>
      <c r="L337" t="str">
        <v>- Kerusakan pada Battrey UPS 200 KVA No.1 Terminal 2 (Proses pelaksanaan Pekerjaan / Spare Part Indent) PO Nomor : 4400011396 TMT 10 Maret 2026 S.D 11 Juni 2026</v>
      </c>
      <c r="M337">
        <v>1</v>
      </c>
      <c r="N337">
        <v>0.9912</v>
      </c>
      <c r="O337">
        <v>1</v>
      </c>
      <c r="P337">
        <v>1</v>
      </c>
      <c r="Q337">
        <v>0.9583</v>
      </c>
      <c r="R337">
        <v>0.9</v>
      </c>
      <c r="S337">
        <v>0.9038</v>
      </c>
      <c r="U337" t="str" xml:space="preserve">
        <v xml:space="preserve">- Kerusakan 3 unit pompa distribusi T1_x000d_
- Garbarata A5B2 kiri kerusakan PLC console desk_x000d_
- Kerusakan Salvage</v>
      </c>
      <c r="V337">
        <v>1</v>
      </c>
      <c r="W337">
        <v>1</v>
      </c>
      <c r="X337">
        <v>1</v>
      </c>
      <c r="Y337">
        <v>0</v>
      </c>
      <c r="Z337">
        <v>0.94</v>
      </c>
      <c r="AA337">
        <v>1</v>
      </c>
      <c r="AB337">
        <v>1</v>
      </c>
      <c r="AC337">
        <v>0.919</v>
      </c>
      <c r="AD337">
        <v>1</v>
      </c>
      <c r="AE337">
        <v>0.982</v>
      </c>
      <c r="AF337">
        <v>0.994</v>
      </c>
      <c r="AG337">
        <v>1</v>
      </c>
      <c r="AH33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7" t="str">
        <v>May</v>
      </c>
      <c r="AJ337" t="str">
        <v>2026</v>
      </c>
    </row>
    <row r="338" xml:space="preserve">
      <c r="A338">
        <v>46145</v>
      </c>
      <c r="B338" t="str">
        <v>Region 4</v>
      </c>
      <c r="C338" t="str">
        <v>Juanda Airport Surabaya</v>
      </c>
      <c r="D338" t="str">
        <v>SUB</v>
      </c>
      <c r="E338">
        <v>0.899999999999999</v>
      </c>
      <c r="F338">
        <v>1</v>
      </c>
      <c r="G338">
        <v>1</v>
      </c>
      <c r="H338">
        <v>1</v>
      </c>
      <c r="I338">
        <v>1</v>
      </c>
      <c r="J338">
        <v>0.958</v>
      </c>
      <c r="K338">
        <v>0.96</v>
      </c>
      <c r="L338" t="str">
        <v>- Kerusakan pada Battrey UPS 200 KVA No.1 Terminal 2 (Proses pelaksanaan Pekerjaan / Spare Part Indent) PO Nomor : 4400011396 TMT 10 Maret 2026 S.D 11 Juni 2026</v>
      </c>
      <c r="M338">
        <v>1</v>
      </c>
      <c r="N338">
        <v>0.9912</v>
      </c>
      <c r="O338">
        <v>1</v>
      </c>
      <c r="P338">
        <v>1</v>
      </c>
      <c r="Q338">
        <v>0.9583</v>
      </c>
      <c r="R338">
        <v>0.9</v>
      </c>
      <c r="S338">
        <v>0.9038</v>
      </c>
      <c r="U338" t="str" xml:space="preserve">
        <v xml:space="preserve">- Kerusakan 3 unit pompa distribusi T1_x000d_
- Garbarata A5B2 kiri kerusakan PLC console desk_x000d_
- Kerusakan Salvage</v>
      </c>
      <c r="V338">
        <v>1</v>
      </c>
      <c r="W338">
        <v>1</v>
      </c>
      <c r="X338">
        <v>1</v>
      </c>
      <c r="Y338">
        <v>0</v>
      </c>
      <c r="Z338">
        <v>0.94</v>
      </c>
      <c r="AA338">
        <v>1</v>
      </c>
      <c r="AB338">
        <v>1</v>
      </c>
      <c r="AC338">
        <v>0.919</v>
      </c>
      <c r="AD338">
        <v>1</v>
      </c>
      <c r="AE338">
        <v>0.982</v>
      </c>
      <c r="AF338">
        <v>0.994</v>
      </c>
      <c r="AG338">
        <v>1</v>
      </c>
      <c r="AH33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8" t="str">
        <v>May</v>
      </c>
      <c r="AJ338" t="str">
        <v>2026</v>
      </c>
    </row>
    <row r="339" xml:space="preserve">
      <c r="A339">
        <v>46146</v>
      </c>
      <c r="B339" t="str">
        <v>Region 4</v>
      </c>
      <c r="C339" t="str">
        <v>Juanda Airport Surabaya</v>
      </c>
      <c r="D339" t="str">
        <v>SUB</v>
      </c>
      <c r="E339">
        <v>0.899999999999999</v>
      </c>
      <c r="F339">
        <v>1</v>
      </c>
      <c r="G339">
        <v>1</v>
      </c>
      <c r="H339">
        <v>1</v>
      </c>
      <c r="I339">
        <v>1</v>
      </c>
      <c r="J339">
        <v>0.958</v>
      </c>
      <c r="K339">
        <v>0.96</v>
      </c>
      <c r="L339" t="str">
        <v>- Kerusakan pada Battrey UPS 200 KVA No.1 Terminal 2 (Proses pelaksanaan Pekerjaan / Spare Part Indent) PO Nomor : 4400011396 TMT 10 Maret 2026 S.D 11 Juni 2026</v>
      </c>
      <c r="M339">
        <v>1</v>
      </c>
      <c r="N339">
        <v>0.9912</v>
      </c>
      <c r="O339">
        <v>1</v>
      </c>
      <c r="P339">
        <v>1</v>
      </c>
      <c r="Q339">
        <v>0.9583</v>
      </c>
      <c r="R339">
        <v>0.9</v>
      </c>
      <c r="S339">
        <v>0.9038</v>
      </c>
      <c r="U339" t="str" xml:space="preserve">
        <v xml:space="preserve">- Kerusakan 3 unit pompa distribusi T1_x000d_
- Garbarata A5B2 kiri kerusakan PLC console desk_x000d_
- Kerusakan Salvage</v>
      </c>
      <c r="V339">
        <v>1</v>
      </c>
      <c r="W339">
        <v>1</v>
      </c>
      <c r="X339">
        <v>1</v>
      </c>
      <c r="Y339">
        <v>0</v>
      </c>
      <c r="Z339">
        <v>0.94</v>
      </c>
      <c r="AA339">
        <v>1</v>
      </c>
      <c r="AB339">
        <v>1</v>
      </c>
      <c r="AC339">
        <v>0.919</v>
      </c>
      <c r="AD339">
        <v>1</v>
      </c>
      <c r="AE339">
        <v>0.982</v>
      </c>
      <c r="AF339">
        <v>0.994</v>
      </c>
      <c r="AG339">
        <v>1</v>
      </c>
      <c r="AH33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39" t="str">
        <v>May</v>
      </c>
      <c r="AJ339" t="str">
        <v>2026</v>
      </c>
    </row>
    <row r="340" xml:space="preserve">
      <c r="A340">
        <v>46147</v>
      </c>
      <c r="B340" t="str">
        <v>Region 4</v>
      </c>
      <c r="C340" t="str">
        <v>Juanda Airport Surabaya</v>
      </c>
      <c r="D340" t="str">
        <v>SUB</v>
      </c>
      <c r="E340">
        <v>0.899999999999999</v>
      </c>
      <c r="F340">
        <v>1</v>
      </c>
      <c r="G340">
        <v>1</v>
      </c>
      <c r="H340">
        <v>1</v>
      </c>
      <c r="I340">
        <v>1</v>
      </c>
      <c r="J340">
        <v>0.958</v>
      </c>
      <c r="K340">
        <v>0.96</v>
      </c>
      <c r="L340" t="str">
        <v>- Kerusakan pada Battrey UPS 200 KVA No.1 Terminal 2 (Proses pelaksanaan Pekerjaan / Spare Part Indent) PO Nomor : 4400011396 TMT 10 Maret 2026 S.D 11 Juni 2026</v>
      </c>
      <c r="M340">
        <v>1</v>
      </c>
      <c r="N340">
        <v>0.9912</v>
      </c>
      <c r="O340">
        <v>1</v>
      </c>
      <c r="P340">
        <v>1</v>
      </c>
      <c r="Q340">
        <v>0.9583</v>
      </c>
      <c r="R340">
        <v>0.9</v>
      </c>
      <c r="S340">
        <v>0.9038</v>
      </c>
      <c r="U340" t="str" xml:space="preserve">
        <v xml:space="preserve">- Kerusakan 3 unit pompa distribusi T1_x000d_
- Garbarata A5B2 kiri kerusakan PLC console desk_x000d_
- Kerusakan Salvage</v>
      </c>
      <c r="V340">
        <v>1</v>
      </c>
      <c r="W340">
        <v>1</v>
      </c>
      <c r="X340">
        <v>1</v>
      </c>
      <c r="Y340">
        <v>0</v>
      </c>
      <c r="Z340">
        <v>0.94</v>
      </c>
      <c r="AA340">
        <v>1</v>
      </c>
      <c r="AB340">
        <v>1</v>
      </c>
      <c r="AC340">
        <v>0.919</v>
      </c>
      <c r="AD340">
        <v>1</v>
      </c>
      <c r="AE340">
        <v>0.982</v>
      </c>
      <c r="AF340">
        <v>0.994</v>
      </c>
      <c r="AG340">
        <v>1</v>
      </c>
      <c r="AH34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0" t="str">
        <v>May</v>
      </c>
      <c r="AJ340" t="str">
        <v>2026</v>
      </c>
    </row>
    <row r="341" xml:space="preserve">
      <c r="A341">
        <v>46148</v>
      </c>
      <c r="B341" t="str">
        <v>Region 4</v>
      </c>
      <c r="C341" t="str">
        <v>Juanda Airport Surabaya</v>
      </c>
      <c r="D341" t="str">
        <v>SUB</v>
      </c>
      <c r="E341">
        <v>0.899999999999999</v>
      </c>
      <c r="F341">
        <v>1</v>
      </c>
      <c r="G341">
        <v>1</v>
      </c>
      <c r="H341">
        <v>1</v>
      </c>
      <c r="I341">
        <v>1</v>
      </c>
      <c r="J341">
        <v>0.958</v>
      </c>
      <c r="K341">
        <v>0.96</v>
      </c>
      <c r="L341" t="str">
        <v>- Kerusakan pada Battrey UPS 200 KVA No.1 Terminal 2 (Proses pelaksanaan Pekerjaan / Spare Part Indent) PO Nomor : 4400011396 TMT 10 Maret 2026 S.D 11 Juni 2026</v>
      </c>
      <c r="M341">
        <v>1</v>
      </c>
      <c r="N341">
        <v>0.9912</v>
      </c>
      <c r="O341">
        <v>1</v>
      </c>
      <c r="P341">
        <v>1</v>
      </c>
      <c r="Q341">
        <v>0.9583</v>
      </c>
      <c r="R341">
        <v>0.9</v>
      </c>
      <c r="S341">
        <v>0.9038</v>
      </c>
      <c r="U341" t="str" xml:space="preserve">
        <v xml:space="preserve">- Kerusakan 3 unit pompa distribusi T1_x000d_
- Garbarata A5B2 kiri kerusakan PLC console desk_x000d_
- Kerusakan Salvage</v>
      </c>
      <c r="V341">
        <v>1</v>
      </c>
      <c r="W341">
        <v>1</v>
      </c>
      <c r="X341">
        <v>1</v>
      </c>
      <c r="Y341">
        <v>0</v>
      </c>
      <c r="Z341">
        <v>0.94</v>
      </c>
      <c r="AA341">
        <v>1</v>
      </c>
      <c r="AB341">
        <v>1</v>
      </c>
      <c r="AC341">
        <v>0.919</v>
      </c>
      <c r="AD341">
        <v>1</v>
      </c>
      <c r="AE341">
        <v>0.982</v>
      </c>
      <c r="AF341">
        <v>0.994</v>
      </c>
      <c r="AG341">
        <v>1</v>
      </c>
      <c r="AH34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1" t="str">
        <v>May</v>
      </c>
      <c r="AJ341" t="str">
        <v>2026</v>
      </c>
    </row>
    <row r="342" xml:space="preserve">
      <c r="A342">
        <v>46149</v>
      </c>
      <c r="B342" t="str">
        <v>Region 4</v>
      </c>
      <c r="C342" t="str">
        <v>Juanda Airport Surabaya</v>
      </c>
      <c r="D342" t="str">
        <v>SUB</v>
      </c>
      <c r="E342">
        <v>0.899999999999999</v>
      </c>
      <c r="F342">
        <v>1</v>
      </c>
      <c r="G342">
        <v>1</v>
      </c>
      <c r="H342">
        <v>1</v>
      </c>
      <c r="I342">
        <v>1</v>
      </c>
      <c r="J342">
        <v>0.958</v>
      </c>
      <c r="K342">
        <v>0.96</v>
      </c>
      <c r="L342" t="str">
        <v>- Kerusakan pada Battrey UPS 200 KVA No.1 Terminal 2 (Proses pelaksanaan Pekerjaan / Spare Part Indent) PO Nomor : 4400011396 TMT 10 Maret 2026 S.D 11 Juni 2026</v>
      </c>
      <c r="M342">
        <v>1</v>
      </c>
      <c r="N342">
        <v>0.9912</v>
      </c>
      <c r="O342">
        <v>1</v>
      </c>
      <c r="P342">
        <v>1</v>
      </c>
      <c r="Q342">
        <v>0.9583</v>
      </c>
      <c r="R342">
        <v>0.9</v>
      </c>
      <c r="S342">
        <v>0.9038</v>
      </c>
      <c r="U342" t="str" xml:space="preserve">
        <v xml:space="preserve">- Kerusakan 3 unit pompa distribusi T1_x000d_
- Garbarata A5B2 kiri kerusakan PLC console desk_x000d_
- Kerusakan Salvage</v>
      </c>
      <c r="V342">
        <v>1</v>
      </c>
      <c r="W342">
        <v>1</v>
      </c>
      <c r="X342">
        <v>1</v>
      </c>
      <c r="Y342">
        <v>0</v>
      </c>
      <c r="Z342">
        <v>0.94</v>
      </c>
      <c r="AA342">
        <v>1</v>
      </c>
      <c r="AB342">
        <v>1</v>
      </c>
      <c r="AC342">
        <v>0.919</v>
      </c>
      <c r="AD342">
        <v>1</v>
      </c>
      <c r="AE342">
        <v>0.982</v>
      </c>
      <c r="AF342">
        <v>0.994</v>
      </c>
      <c r="AG342">
        <v>1</v>
      </c>
      <c r="AH34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2" t="str">
        <v>May</v>
      </c>
      <c r="AJ342" t="str">
        <v>2026</v>
      </c>
    </row>
    <row r="343" xml:space="preserve">
      <c r="A343">
        <v>46150</v>
      </c>
      <c r="B343" t="str">
        <v>Region 4</v>
      </c>
      <c r="C343" t="str">
        <v>Juanda Airport Surabaya</v>
      </c>
      <c r="D343" t="str">
        <v>SUB</v>
      </c>
      <c r="E343">
        <v>0.899999999999999</v>
      </c>
      <c r="F343">
        <v>1</v>
      </c>
      <c r="G343">
        <v>1</v>
      </c>
      <c r="H343">
        <v>1</v>
      </c>
      <c r="I343">
        <v>1</v>
      </c>
      <c r="J343">
        <v>0.958</v>
      </c>
      <c r="K343">
        <v>0.96</v>
      </c>
      <c r="L343" t="str">
        <v>- Kerusakan pada Battrey UPS 200 KVA No.1 Terminal 2 (Proses pelaksanaan Pekerjaan / Spare Part Indent) PO Nomor : 4400011396 TMT 10 Maret 2026 S.D 11 Juni 2026</v>
      </c>
      <c r="M343">
        <v>1</v>
      </c>
      <c r="N343">
        <v>0.9912</v>
      </c>
      <c r="O343">
        <v>1</v>
      </c>
      <c r="P343">
        <v>1</v>
      </c>
      <c r="Q343">
        <v>0.9583</v>
      </c>
      <c r="R343">
        <v>0.9</v>
      </c>
      <c r="S343">
        <v>0.9038</v>
      </c>
      <c r="U343" t="str" xml:space="preserve">
        <v xml:space="preserve">- Kerusakan 3 unit pompa distribusi T1_x000d_
- Garbarata A5B2 kiri kerusakan PLC console desk_x000d_
- Kerusakan Salvage</v>
      </c>
      <c r="V343">
        <v>1</v>
      </c>
      <c r="W343">
        <v>1</v>
      </c>
      <c r="X343">
        <v>1</v>
      </c>
      <c r="Y343">
        <v>0</v>
      </c>
      <c r="Z343">
        <v>0.94</v>
      </c>
      <c r="AA343">
        <v>1</v>
      </c>
      <c r="AB343">
        <v>1</v>
      </c>
      <c r="AC343">
        <v>0.919</v>
      </c>
      <c r="AD343">
        <v>1</v>
      </c>
      <c r="AE343">
        <v>0.982</v>
      </c>
      <c r="AF343">
        <v>0.994</v>
      </c>
      <c r="AG343">
        <v>1</v>
      </c>
      <c r="AH34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3" t="str">
        <v>May</v>
      </c>
      <c r="AJ343" t="str">
        <v>2026</v>
      </c>
    </row>
    <row r="344" xml:space="preserve">
      <c r="A344">
        <v>46151</v>
      </c>
      <c r="B344" t="str">
        <v>Region 4</v>
      </c>
      <c r="C344" t="str">
        <v>Juanda Airport Surabaya</v>
      </c>
      <c r="D344" t="str">
        <v>SUB</v>
      </c>
      <c r="E344">
        <v>0.899999999999999</v>
      </c>
      <c r="F344">
        <v>1</v>
      </c>
      <c r="G344">
        <v>1</v>
      </c>
      <c r="H344">
        <v>1</v>
      </c>
      <c r="I344">
        <v>1</v>
      </c>
      <c r="J344">
        <v>0.958</v>
      </c>
      <c r="K344">
        <v>0.96</v>
      </c>
      <c r="L344" t="str">
        <v>- Kerusakan pada Battrey UPS 200 KVA No.1 Terminal 2 (Proses pelaksanaan Pekerjaan / Spare Part Indent) PO Nomor : 4400011396 TMT 10 Maret 2026 S.D 11 Juni 2026</v>
      </c>
      <c r="M344">
        <v>1</v>
      </c>
      <c r="N344">
        <v>0.9912</v>
      </c>
      <c r="O344">
        <v>1</v>
      </c>
      <c r="P344">
        <v>1</v>
      </c>
      <c r="Q344">
        <v>0.9583</v>
      </c>
      <c r="R344">
        <v>0.9</v>
      </c>
      <c r="S344">
        <v>0.9038</v>
      </c>
      <c r="U344" t="str">
        <v>- Kerusakan Salvage</v>
      </c>
      <c r="V344">
        <v>1</v>
      </c>
      <c r="W344">
        <v>1</v>
      </c>
      <c r="X344">
        <v>1</v>
      </c>
      <c r="Y344">
        <v>0</v>
      </c>
      <c r="Z344">
        <v>0.94</v>
      </c>
      <c r="AA344">
        <v>1</v>
      </c>
      <c r="AB344">
        <v>1</v>
      </c>
      <c r="AC344">
        <v>0.919</v>
      </c>
      <c r="AD344">
        <v>1</v>
      </c>
      <c r="AE344">
        <v>0.982</v>
      </c>
      <c r="AF344">
        <v>0.994</v>
      </c>
      <c r="AG344">
        <v>1</v>
      </c>
      <c r="AH34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4" t="str">
        <v>May</v>
      </c>
      <c r="AJ344" t="str">
        <v>2026</v>
      </c>
    </row>
    <row r="345" xml:space="preserve">
      <c r="A345">
        <v>46152</v>
      </c>
      <c r="B345" t="str">
        <v>Region 4</v>
      </c>
      <c r="C345" t="str">
        <v>Juanda Airport Surabaya</v>
      </c>
      <c r="D345" t="str">
        <v>SUB</v>
      </c>
      <c r="E345">
        <v>0.899999999999999</v>
      </c>
      <c r="F345">
        <v>1</v>
      </c>
      <c r="G345">
        <v>1</v>
      </c>
      <c r="H345">
        <v>1</v>
      </c>
      <c r="I345">
        <v>1</v>
      </c>
      <c r="J345">
        <v>0.958</v>
      </c>
      <c r="K345">
        <v>0.96</v>
      </c>
      <c r="L345" t="str">
        <v>- Kerusakan pada Battrey UPS 200 KVA No.1 Terminal 2 (Proses pelaksanaan Pekerjaan / Spare Part Indent) PO Nomor : 4400011396 TMT 10 Maret 2026 S.D 11 Juni 2026</v>
      </c>
      <c r="M345">
        <f>13/14</f>
        <v>0.9285714285714286</v>
      </c>
      <c r="N345">
        <v>0.9912</v>
      </c>
      <c r="O345">
        <v>1</v>
      </c>
      <c r="P345">
        <v>1</v>
      </c>
      <c r="Q345">
        <v>0.9583</v>
      </c>
      <c r="R345">
        <v>0.9</v>
      </c>
      <c r="S345">
        <v>0.9038</v>
      </c>
      <c r="U345" t="str" xml:space="preserve">
        <v xml:space="preserve">- Chiller No. 1 T1B sensor oil temperatur error_x000d_
- Kerusakan Salvage</v>
      </c>
      <c r="V345">
        <v>1</v>
      </c>
      <c r="W345">
        <v>1</v>
      </c>
      <c r="X345">
        <v>1</v>
      </c>
      <c r="Y345">
        <v>0</v>
      </c>
      <c r="Z345">
        <v>0.94</v>
      </c>
      <c r="AA345">
        <v>1</v>
      </c>
      <c r="AB345">
        <v>1</v>
      </c>
      <c r="AC345">
        <v>0.919</v>
      </c>
      <c r="AD345">
        <v>1</v>
      </c>
      <c r="AE345">
        <v>0.982</v>
      </c>
      <c r="AF345">
        <v>0.994</v>
      </c>
      <c r="AG345">
        <v>1</v>
      </c>
      <c r="AH34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5" t="str">
        <v>May</v>
      </c>
      <c r="AJ345" t="str">
        <v>2026</v>
      </c>
    </row>
    <row r="346" xml:space="preserve">
      <c r="A346">
        <v>46153</v>
      </c>
      <c r="B346" t="str">
        <v>Region 4</v>
      </c>
      <c r="C346" t="str">
        <v>Juanda Airport Surabaya</v>
      </c>
      <c r="D346" t="str">
        <v>SUB</v>
      </c>
      <c r="E346">
        <v>0.899999999999999</v>
      </c>
      <c r="F346">
        <v>1</v>
      </c>
      <c r="G346">
        <v>1</v>
      </c>
      <c r="H346">
        <v>1</v>
      </c>
      <c r="I346">
        <v>1</v>
      </c>
      <c r="J346">
        <v>0.958</v>
      </c>
      <c r="K346">
        <v>0.96</v>
      </c>
      <c r="L346" t="str">
        <v>- Kerusakan pada Battrey UPS 200 KVA No.1 Terminal 2 (Proses pelaksanaan Pekerjaan / Spare Part Indent) PO Nomor : 4400011396 TMT 10 Maret 2026 S.D 11 Juni 2026</v>
      </c>
      <c r="M346">
        <f>13/14</f>
        <v>0.9285714285714286</v>
      </c>
      <c r="N346">
        <v>0.9912</v>
      </c>
      <c r="O346">
        <v>1</v>
      </c>
      <c r="P346">
        <v>1</v>
      </c>
      <c r="Q346">
        <v>0.9583</v>
      </c>
      <c r="R346">
        <v>0.9</v>
      </c>
      <c r="S346">
        <v>0.9038</v>
      </c>
      <c r="U346" t="str" xml:space="preserve">
        <v xml:space="preserve">- Chiller No. 1 T1B sensor oil temperatur error_x000d_
- Kerusakan Salvage</v>
      </c>
      <c r="V346">
        <v>1</v>
      </c>
      <c r="W346">
        <v>1</v>
      </c>
      <c r="X346">
        <v>1</v>
      </c>
      <c r="Y346">
        <v>0</v>
      </c>
      <c r="Z346">
        <v>0.94</v>
      </c>
      <c r="AA346">
        <v>1</v>
      </c>
      <c r="AB346">
        <v>1</v>
      </c>
      <c r="AC346">
        <v>0.919</v>
      </c>
      <c r="AD346">
        <v>1</v>
      </c>
      <c r="AE346">
        <v>0.982</v>
      </c>
      <c r="AF346">
        <v>0.994</v>
      </c>
      <c r="AG346">
        <v>1</v>
      </c>
      <c r="AH34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6" t="str">
        <v>May</v>
      </c>
      <c r="AJ346" t="str">
        <v>2026</v>
      </c>
    </row>
    <row r="347" xml:space="preserve">
      <c r="A347">
        <v>46154</v>
      </c>
      <c r="B347" t="str">
        <v>Region 4</v>
      </c>
      <c r="C347" t="str">
        <v>Juanda Airport Surabaya</v>
      </c>
      <c r="D347" t="str">
        <v>SUB</v>
      </c>
      <c r="E347">
        <v>0.899999999999999</v>
      </c>
      <c r="F347">
        <v>1</v>
      </c>
      <c r="G347">
        <v>1</v>
      </c>
      <c r="H347">
        <v>1</v>
      </c>
      <c r="I347">
        <v>1</v>
      </c>
      <c r="J347">
        <v>0.958</v>
      </c>
      <c r="K347">
        <v>0.96</v>
      </c>
      <c r="L347" t="str">
        <v>- Kerusakan pada Battrey UPS 200 KVA No.1 Terminal 2 (Proses pelaksanaan Pekerjaan / Spare Part Indent) PO Nomor : 4400011396 TMT 10 Maret 2026 S.D 11 Juni 2026</v>
      </c>
      <c r="M347">
        <f>13/14</f>
        <v>0.9285714285714286</v>
      </c>
      <c r="N347">
        <v>0.9912</v>
      </c>
      <c r="O347">
        <v>1</v>
      </c>
      <c r="P347">
        <v>1</v>
      </c>
      <c r="Q347">
        <v>0.9583</v>
      </c>
      <c r="R347">
        <v>0.9</v>
      </c>
      <c r="S347">
        <v>0.9038</v>
      </c>
      <c r="U347" t="str" xml:space="preserve">
        <v xml:space="preserve">- Chiller No. 1 T1B sensor oil temperatur error_x000d_
- Kerusakan Salvage</v>
      </c>
      <c r="V347">
        <v>1</v>
      </c>
      <c r="W347">
        <v>1</v>
      </c>
      <c r="X347">
        <v>1</v>
      </c>
      <c r="Y347">
        <v>0</v>
      </c>
      <c r="Z347">
        <v>0.94</v>
      </c>
      <c r="AA347">
        <v>1</v>
      </c>
      <c r="AB347">
        <v>1</v>
      </c>
      <c r="AC347">
        <v>0.919</v>
      </c>
      <c r="AD347">
        <v>1</v>
      </c>
      <c r="AE347">
        <v>0.982</v>
      </c>
      <c r="AF347">
        <v>0.994</v>
      </c>
      <c r="AG347">
        <v>1</v>
      </c>
      <c r="AH34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7" t="str">
        <v>May</v>
      </c>
      <c r="AJ347" t="str">
        <v>2026</v>
      </c>
    </row>
    <row r="348" xml:space="preserve">
      <c r="A348">
        <v>46155</v>
      </c>
      <c r="B348" t="str">
        <v>Region 4</v>
      </c>
      <c r="C348" t="str">
        <v>Juanda Airport Surabaya</v>
      </c>
      <c r="D348" t="str">
        <v>SUB</v>
      </c>
      <c r="E348">
        <v>0.899999999999999</v>
      </c>
      <c r="F348">
        <v>1</v>
      </c>
      <c r="G348">
        <v>1</v>
      </c>
      <c r="H348">
        <v>1</v>
      </c>
      <c r="I348">
        <v>1</v>
      </c>
      <c r="J348">
        <v>0.958</v>
      </c>
      <c r="K348">
        <v>0.96</v>
      </c>
      <c r="L348" t="str">
        <v>- Kerusakan pada Battrey UPS 200 KVA No.1 Terminal 2 (Proses pelaksanaan Pekerjaan / Spare Part Indent) PO Nomor : 4400011396 TMT 10 Maret 2026 S.D 11 Juni 2026</v>
      </c>
      <c r="M348">
        <f>13/14</f>
        <v>0.9285714285714286</v>
      </c>
      <c r="N348">
        <v>0.9912</v>
      </c>
      <c r="O348">
        <v>1</v>
      </c>
      <c r="P348">
        <v>1</v>
      </c>
      <c r="Q348">
        <v>0.9583</v>
      </c>
      <c r="R348">
        <v>0.9</v>
      </c>
      <c r="S348">
        <v>0.9038</v>
      </c>
      <c r="U348" t="str" xml:space="preserve">
        <v xml:space="preserve">- Chiller No. 1 T1B sensor oil temperatur error_x000d_
- Kerusakan Salvage</v>
      </c>
      <c r="V348">
        <v>1</v>
      </c>
      <c r="W348">
        <v>1</v>
      </c>
      <c r="X348">
        <v>1</v>
      </c>
      <c r="Y348">
        <v>0</v>
      </c>
      <c r="Z348">
        <v>0.94</v>
      </c>
      <c r="AA348">
        <v>1</v>
      </c>
      <c r="AB348">
        <v>1</v>
      </c>
      <c r="AC348">
        <v>0.919</v>
      </c>
      <c r="AD348">
        <v>1</v>
      </c>
      <c r="AE348">
        <v>0.982</v>
      </c>
      <c r="AF348">
        <v>0.994</v>
      </c>
      <c r="AG348">
        <v>1</v>
      </c>
      <c r="AH34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8" t="str">
        <v>May</v>
      </c>
      <c r="AJ348" t="str">
        <v>2026</v>
      </c>
    </row>
    <row r="349" xml:space="preserve">
      <c r="A349">
        <v>46156</v>
      </c>
      <c r="B349" t="str">
        <v>Region 4</v>
      </c>
      <c r="C349" t="str">
        <v>Juanda Airport Surabaya</v>
      </c>
      <c r="D349" t="str">
        <v>SUB</v>
      </c>
      <c r="E349">
        <v>0.899999999999999</v>
      </c>
      <c r="F349">
        <v>1</v>
      </c>
      <c r="G349">
        <v>1</v>
      </c>
      <c r="H349">
        <v>1</v>
      </c>
      <c r="I349">
        <v>1</v>
      </c>
      <c r="J349">
        <v>0.958</v>
      </c>
      <c r="K349">
        <v>0.96</v>
      </c>
      <c r="L349" t="str">
        <v>- Kerusakan pada Battrey UPS 200 KVA No.1 Terminal 2 (Proses pelaksanaan Pekerjaan / Spare Part Indent) PO Nomor : 4400011396 TMT 10 Maret 2026 S.D 11 Juni 2026</v>
      </c>
      <c r="M349">
        <f>13/14</f>
        <v>0.9285714285714286</v>
      </c>
      <c r="N349">
        <v>0.9912</v>
      </c>
      <c r="O349">
        <v>1</v>
      </c>
      <c r="P349">
        <v>1</v>
      </c>
      <c r="Q349">
        <v>0.9583</v>
      </c>
      <c r="R349">
        <v>0.9</v>
      </c>
      <c r="S349">
        <v>0.9038</v>
      </c>
      <c r="U349" t="str" xml:space="preserve">
        <v xml:space="preserve">- Chiller No. 1 T1B sensor oil temperatur error_x000d_
- Kerusakan Salvage</v>
      </c>
      <c r="V349">
        <v>1</v>
      </c>
      <c r="W349">
        <v>1</v>
      </c>
      <c r="X349">
        <v>1</v>
      </c>
      <c r="Y349">
        <v>0</v>
      </c>
      <c r="Z349">
        <v>0.94</v>
      </c>
      <c r="AA349">
        <v>1</v>
      </c>
      <c r="AB349">
        <v>1</v>
      </c>
      <c r="AC349">
        <v>0.919</v>
      </c>
      <c r="AD349">
        <v>1</v>
      </c>
      <c r="AE349">
        <v>0.982</v>
      </c>
      <c r="AF349">
        <v>0.994</v>
      </c>
      <c r="AG349">
        <v>1</v>
      </c>
      <c r="AH34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49" t="str">
        <v>May</v>
      </c>
      <c r="AJ349" t="str">
        <v>2026</v>
      </c>
    </row>
    <row r="350" xml:space="preserve">
      <c r="A350">
        <v>46157</v>
      </c>
      <c r="B350" t="str">
        <v>Region 4</v>
      </c>
      <c r="C350" t="str">
        <v>Juanda Airport Surabaya</v>
      </c>
      <c r="D350" t="str">
        <v>SUB</v>
      </c>
      <c r="E350">
        <v>0.899999999999999</v>
      </c>
      <c r="F350">
        <v>1</v>
      </c>
      <c r="G350">
        <v>1</v>
      </c>
      <c r="H350">
        <v>1</v>
      </c>
      <c r="I350">
        <v>1</v>
      </c>
      <c r="J350">
        <v>0.958</v>
      </c>
      <c r="K350">
        <v>0.96</v>
      </c>
      <c r="L350" t="str">
        <v>- Kerusakan pada Battrey UPS 200 KVA No.1 Terminal 2 (Proses pelaksanaan Pekerjaan / Spare Part Indent) PO Nomor : 4400011396 TMT 10 Maret 2026 S.D 11 Juni 2026</v>
      </c>
      <c r="M350">
        <f>13/14</f>
        <v>0.9285714285714286</v>
      </c>
      <c r="N350">
        <v>0.9912</v>
      </c>
      <c r="O350">
        <v>1</v>
      </c>
      <c r="P350">
        <v>1</v>
      </c>
      <c r="Q350">
        <v>0.9583</v>
      </c>
      <c r="R350">
        <v>0.9</v>
      </c>
      <c r="S350">
        <v>0.9038</v>
      </c>
      <c r="U350" t="str" xml:space="preserve">
        <v xml:space="preserve">- Chiller No. 1 T1B sensor oil temperatur error_x000d_
- Kerusakan Salvage</v>
      </c>
      <c r="V350">
        <v>1</v>
      </c>
      <c r="W350">
        <v>1</v>
      </c>
      <c r="X350">
        <v>1</v>
      </c>
      <c r="Y350">
        <v>0</v>
      </c>
      <c r="Z350">
        <v>0.94</v>
      </c>
      <c r="AA350">
        <v>1</v>
      </c>
      <c r="AB350">
        <v>1</v>
      </c>
      <c r="AC350">
        <v>0.919</v>
      </c>
      <c r="AD350">
        <v>1</v>
      </c>
      <c r="AE350">
        <v>0.982</v>
      </c>
      <c r="AF350">
        <v>0.994</v>
      </c>
      <c r="AG350">
        <v>1</v>
      </c>
      <c r="AH35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0" t="str">
        <v>May</v>
      </c>
      <c r="AJ350" t="str">
        <v>2026</v>
      </c>
    </row>
    <row r="351" xml:space="preserve">
      <c r="A351">
        <v>46158</v>
      </c>
      <c r="B351" t="str">
        <v>Region 4</v>
      </c>
      <c r="C351" t="str">
        <v>Juanda Airport Surabaya</v>
      </c>
      <c r="D351" t="str">
        <v>SUB</v>
      </c>
      <c r="E351">
        <v>0.899999999999999</v>
      </c>
      <c r="F351">
        <v>1</v>
      </c>
      <c r="G351">
        <v>1</v>
      </c>
      <c r="H351">
        <v>1</v>
      </c>
      <c r="I351">
        <v>1</v>
      </c>
      <c r="J351">
        <v>0.958</v>
      </c>
      <c r="K351">
        <v>0.96</v>
      </c>
      <c r="L351" t="str">
        <v>- Kerusakan pada Battrey UPS 200 KVA No.1 Terminal 2 (Proses pelaksanaan Pekerjaan / Spare Part Indent) PO Nomor : 4400011396 TMT 10 Maret 2026 S.D 11 Juni 2026</v>
      </c>
      <c r="M351">
        <f>13/14</f>
        <v>0.9285714285714286</v>
      </c>
      <c r="N351">
        <v>0.9912</v>
      </c>
      <c r="O351">
        <v>1</v>
      </c>
      <c r="P351">
        <v>1</v>
      </c>
      <c r="Q351">
        <v>0.9583</v>
      </c>
      <c r="R351">
        <v>0.9</v>
      </c>
      <c r="S351">
        <v>0.9038</v>
      </c>
      <c r="U351" t="str" xml:space="preserve">
        <v xml:space="preserve">- Chiller No. 1 T1B sensor oil temperatur error_x000d_
- Kerusakan Salvage</v>
      </c>
      <c r="V351">
        <v>1</v>
      </c>
      <c r="W351">
        <v>1</v>
      </c>
      <c r="X351">
        <v>1</v>
      </c>
      <c r="Y351">
        <v>0</v>
      </c>
      <c r="Z351">
        <v>0.94</v>
      </c>
      <c r="AA351">
        <v>1</v>
      </c>
      <c r="AB351">
        <v>1</v>
      </c>
      <c r="AC351">
        <v>0.919</v>
      </c>
      <c r="AD351">
        <v>1</v>
      </c>
      <c r="AE351">
        <v>0.982</v>
      </c>
      <c r="AF351">
        <v>0.994</v>
      </c>
      <c r="AG351">
        <v>1</v>
      </c>
      <c r="AH35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1" t="str">
        <v>May</v>
      </c>
      <c r="AJ351" t="str">
        <v>2026</v>
      </c>
    </row>
    <row r="352" xml:space="preserve">
      <c r="A352">
        <v>46159</v>
      </c>
      <c r="B352" t="str">
        <v>Region 4</v>
      </c>
      <c r="C352" t="str">
        <v>Juanda Airport Surabaya</v>
      </c>
      <c r="D352" t="str">
        <v>SUB</v>
      </c>
      <c r="E352">
        <v>0.899999999999999</v>
      </c>
      <c r="F352">
        <v>1</v>
      </c>
      <c r="G352">
        <v>1</v>
      </c>
      <c r="H352">
        <v>1</v>
      </c>
      <c r="I352">
        <v>1</v>
      </c>
      <c r="J352">
        <v>0.958</v>
      </c>
      <c r="K352">
        <v>0.96</v>
      </c>
      <c r="L352" t="str">
        <v>- Kerusakan pada Battrey UPS 200 KVA No.1 Terminal 2 (Proses pelaksanaan Pekerjaan / Spare Part Indent) PO Nomor : 4400011396 TMT 10 Maret 2026 S.D 11 Juni 2026</v>
      </c>
      <c r="M352">
        <f>13/14</f>
        <v>0.9285714285714286</v>
      </c>
      <c r="N352">
        <v>0.9912</v>
      </c>
      <c r="O352">
        <v>1</v>
      </c>
      <c r="P352">
        <v>1</v>
      </c>
      <c r="Q352">
        <v>0.9583</v>
      </c>
      <c r="R352">
        <v>0.9</v>
      </c>
      <c r="S352">
        <v>0.9038</v>
      </c>
      <c r="U352" t="str" xml:space="preserve">
        <v xml:space="preserve">- Chiller No. 1 T1B sensor oil temperatur error_x000d_
- Kerusakan Salvage</v>
      </c>
      <c r="V352">
        <v>1</v>
      </c>
      <c r="W352">
        <v>1</v>
      </c>
      <c r="X352">
        <v>1</v>
      </c>
      <c r="Y352">
        <v>0</v>
      </c>
      <c r="Z352">
        <v>0.94</v>
      </c>
      <c r="AA352">
        <v>1</v>
      </c>
      <c r="AB352">
        <v>1</v>
      </c>
      <c r="AC352">
        <v>0.919</v>
      </c>
      <c r="AD352">
        <v>1</v>
      </c>
      <c r="AE352">
        <v>0.982</v>
      </c>
      <c r="AF352">
        <v>0.994</v>
      </c>
      <c r="AG352">
        <v>1</v>
      </c>
      <c r="AH35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2" t="str">
        <v>May</v>
      </c>
      <c r="AJ352" t="str">
        <v>2026</v>
      </c>
    </row>
    <row r="353" xml:space="preserve">
      <c r="A353">
        <v>46160</v>
      </c>
      <c r="B353" t="str">
        <v>Region 4</v>
      </c>
      <c r="C353" t="str">
        <v>Juanda Airport Surabaya</v>
      </c>
      <c r="D353" t="str">
        <v>SUB</v>
      </c>
      <c r="E353">
        <v>0.899999999999999</v>
      </c>
      <c r="F353">
        <v>1</v>
      </c>
      <c r="G353">
        <v>1</v>
      </c>
      <c r="H353">
        <v>1</v>
      </c>
      <c r="I353">
        <v>1</v>
      </c>
      <c r="J353">
        <v>0.958</v>
      </c>
      <c r="K353">
        <v>0.96</v>
      </c>
      <c r="L353" t="str">
        <v>- Kerusakan pada Battrey UPS 200 KVA No.1 Terminal 2 (Proses pelaksanaan Pekerjaan / Spare Part Indent) PO Nomor : 4400011396 TMT 10 Maret 2026 S.D 11 Juni 2026</v>
      </c>
      <c r="M353">
        <f>13/14</f>
        <v>0.9285714285714286</v>
      </c>
      <c r="N353">
        <v>0.9912</v>
      </c>
      <c r="O353">
        <v>1</v>
      </c>
      <c r="P353">
        <v>1</v>
      </c>
      <c r="Q353">
        <v>0.9583</v>
      </c>
      <c r="R353">
        <v>0.9</v>
      </c>
      <c r="S353">
        <v>0.9038</v>
      </c>
      <c r="U353" t="str" xml:space="preserve">
        <v xml:space="preserve">- Chiller No. 1 T1B sensor oil temperatur error_x000d_
- Kerusakan Salvage</v>
      </c>
      <c r="V353">
        <v>1</v>
      </c>
      <c r="W353">
        <v>1</v>
      </c>
      <c r="X353">
        <v>1</v>
      </c>
      <c r="Y353">
        <v>0</v>
      </c>
      <c r="Z353">
        <v>0.94</v>
      </c>
      <c r="AA353">
        <v>1</v>
      </c>
      <c r="AB353">
        <v>1</v>
      </c>
      <c r="AC353">
        <v>0.919</v>
      </c>
      <c r="AD353">
        <v>1</v>
      </c>
      <c r="AE353">
        <v>0.982</v>
      </c>
      <c r="AF353">
        <v>0.994</v>
      </c>
      <c r="AG353">
        <v>1</v>
      </c>
      <c r="AH35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3" t="str">
        <v>May</v>
      </c>
      <c r="AJ353" t="str">
        <v>2026</v>
      </c>
    </row>
    <row r="354" xml:space="preserve">
      <c r="A354">
        <v>46161</v>
      </c>
      <c r="B354" t="str">
        <v>Region 4</v>
      </c>
      <c r="C354" t="str">
        <v>Juanda Airport Surabaya</v>
      </c>
      <c r="D354" t="str">
        <v>SUB</v>
      </c>
      <c r="E354">
        <v>0.899999999999999</v>
      </c>
      <c r="F354">
        <v>1</v>
      </c>
      <c r="G354">
        <v>1</v>
      </c>
      <c r="H354">
        <v>1</v>
      </c>
      <c r="I354">
        <v>1</v>
      </c>
      <c r="J354">
        <v>0.958</v>
      </c>
      <c r="K354">
        <v>0.96</v>
      </c>
      <c r="L354" t="str">
        <v>- Kerusakan pada Battrey UPS 200 KVA No.1 Terminal 2 (Proses pelaksanaan Pekerjaan / Spare Part Indent) PO Nomor : 4400011396 TMT 10 Maret 2026 S.D 11 Juni 2026</v>
      </c>
      <c r="M354">
        <f>13/14</f>
        <v>0.9285714285714286</v>
      </c>
      <c r="N354">
        <v>0.9912</v>
      </c>
      <c r="O354">
        <v>1</v>
      </c>
      <c r="P354">
        <v>1</v>
      </c>
      <c r="Q354">
        <v>0.9583</v>
      </c>
      <c r="R354">
        <v>0.9</v>
      </c>
      <c r="S354">
        <v>0.9038</v>
      </c>
      <c r="U354" t="str" xml:space="preserve">
        <v xml:space="preserve">- Chiller No. 1 T1B sensor oil temperatur error_x000d_
- Kerusakan Salvage</v>
      </c>
      <c r="V354">
        <v>1</v>
      </c>
      <c r="W354">
        <v>1</v>
      </c>
      <c r="X354">
        <v>1</v>
      </c>
      <c r="Y354">
        <v>0</v>
      </c>
      <c r="Z354">
        <v>0.94</v>
      </c>
      <c r="AA354">
        <v>1</v>
      </c>
      <c r="AB354">
        <v>1</v>
      </c>
      <c r="AC354">
        <v>0.919</v>
      </c>
      <c r="AD354">
        <v>1</v>
      </c>
      <c r="AE354">
        <v>0.982</v>
      </c>
      <c r="AF354">
        <v>0.994</v>
      </c>
      <c r="AG354">
        <v>1</v>
      </c>
      <c r="AH35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4" t="str">
        <v>May</v>
      </c>
      <c r="AJ354" t="str">
        <v>2026</v>
      </c>
    </row>
    <row r="355" xml:space="preserve">
      <c r="A355">
        <v>46162</v>
      </c>
      <c r="B355" t="str">
        <v>Region 4</v>
      </c>
      <c r="C355" t="str">
        <v>Juanda Airport Surabaya</v>
      </c>
      <c r="D355" t="str">
        <v>SUB</v>
      </c>
      <c r="E355">
        <v>0.899999999999999</v>
      </c>
      <c r="F355">
        <v>1</v>
      </c>
      <c r="G355">
        <v>1</v>
      </c>
      <c r="H355">
        <v>1</v>
      </c>
      <c r="I355">
        <v>1</v>
      </c>
      <c r="J355">
        <v>0.958</v>
      </c>
      <c r="K355">
        <v>0.96</v>
      </c>
      <c r="L355" t="str">
        <v>- Kerusakan pada Battrey UPS 200 KVA No.1 Terminal 2 (Proses pelaksanaan Pekerjaan / Spare Part Indent) PO Nomor : 4400011396 TMT 10 Maret 2026 S.D 11 Juni 2026</v>
      </c>
      <c r="M355">
        <f>13/14</f>
        <v>0.9285714285714286</v>
      </c>
      <c r="N355">
        <v>0.9912</v>
      </c>
      <c r="O355">
        <v>1</v>
      </c>
      <c r="P355">
        <v>1</v>
      </c>
      <c r="Q355">
        <v>0.9583</v>
      </c>
      <c r="R355">
        <v>0.9</v>
      </c>
      <c r="S355">
        <v>0.9038</v>
      </c>
      <c r="U355" t="str" xml:space="preserve">
        <v xml:space="preserve">- Chiller No. 1 T1B sensor oil temperatur error_x000d_
- Kerusakan Salvage</v>
      </c>
      <c r="V355">
        <v>1</v>
      </c>
      <c r="W355">
        <v>1</v>
      </c>
      <c r="X355">
        <v>1</v>
      </c>
      <c r="Y355">
        <v>0</v>
      </c>
      <c r="Z355">
        <v>0.94</v>
      </c>
      <c r="AA355">
        <v>1</v>
      </c>
      <c r="AB355">
        <v>1</v>
      </c>
      <c r="AC355">
        <v>0.919</v>
      </c>
      <c r="AD355">
        <v>1</v>
      </c>
      <c r="AE355">
        <v>0.982</v>
      </c>
      <c r="AF355">
        <v>0.994</v>
      </c>
      <c r="AG355">
        <v>1</v>
      </c>
      <c r="AH35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5" t="str">
        <v>May</v>
      </c>
      <c r="AJ355" t="str">
        <v>2026</v>
      </c>
    </row>
    <row r="356" xml:space="preserve">
      <c r="A356">
        <v>46163</v>
      </c>
      <c r="B356" t="str">
        <v>Region 4</v>
      </c>
      <c r="C356" t="str">
        <v>Juanda Airport Surabaya</v>
      </c>
      <c r="D356" t="str">
        <v>SUB</v>
      </c>
      <c r="E356">
        <v>0.899999999999999</v>
      </c>
      <c r="F356">
        <v>1</v>
      </c>
      <c r="G356">
        <v>1</v>
      </c>
      <c r="H356">
        <v>1</v>
      </c>
      <c r="I356">
        <v>1</v>
      </c>
      <c r="J356">
        <v>0.958</v>
      </c>
      <c r="K356">
        <v>0.96</v>
      </c>
      <c r="L356" t="str">
        <v>- Kerusakan pada Battrey UPS 200 KVA No.1 Terminal 2 (Proses pelaksanaan Pekerjaan / Spare Part Indent) PO Nomor : 4400011396 TMT 10 Maret 2026 S.D 11 Juni 2026</v>
      </c>
      <c r="M356">
        <f>13/14</f>
        <v>0.9285714285714286</v>
      </c>
      <c r="N356">
        <v>0.9912</v>
      </c>
      <c r="O356">
        <v>1</v>
      </c>
      <c r="P356">
        <v>1</v>
      </c>
      <c r="Q356">
        <v>0.9583</v>
      </c>
      <c r="R356">
        <v>0.9</v>
      </c>
      <c r="S356">
        <v>0.9038</v>
      </c>
      <c r="U356" t="str" xml:space="preserve">
        <v xml:space="preserve">- Chiller No. 1 T1B sensor oil temperatur error_x000d_
- Kerusakan Salvage</v>
      </c>
      <c r="V356">
        <v>1</v>
      </c>
      <c r="W356">
        <v>1</v>
      </c>
      <c r="X356">
        <v>1</v>
      </c>
      <c r="Y356">
        <v>0</v>
      </c>
      <c r="Z356">
        <v>0.94</v>
      </c>
      <c r="AA356">
        <v>1</v>
      </c>
      <c r="AB356">
        <v>1</v>
      </c>
      <c r="AC356">
        <v>0.919</v>
      </c>
      <c r="AD356">
        <v>1</v>
      </c>
      <c r="AE356">
        <v>0.982</v>
      </c>
      <c r="AF356">
        <v>0.994</v>
      </c>
      <c r="AG356">
        <v>1</v>
      </c>
      <c r="AH35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6" t="str">
        <v>May</v>
      </c>
      <c r="AJ356" t="str">
        <v>2026</v>
      </c>
    </row>
    <row r="357" xml:space="preserve">
      <c r="A357">
        <v>46164</v>
      </c>
      <c r="B357" t="str">
        <v>Region 4</v>
      </c>
      <c r="C357" t="str">
        <v>Juanda Airport Surabaya</v>
      </c>
      <c r="D357" t="str">
        <v>SUB</v>
      </c>
      <c r="E357">
        <v>0.899999999999999</v>
      </c>
      <c r="F357">
        <v>1</v>
      </c>
      <c r="G357">
        <v>1</v>
      </c>
      <c r="H357">
        <v>1</v>
      </c>
      <c r="I357">
        <v>1</v>
      </c>
      <c r="J357">
        <v>0.958</v>
      </c>
      <c r="K357">
        <v>0.96</v>
      </c>
      <c r="L357" t="str">
        <v>- Kerusakan pada Battrey UPS 200 KVA No.1 Terminal 2 (Proses pelaksanaan Pekerjaan / Spare Part Indent) PO Nomor : 4400011396 TMT 10 Maret 2026 S.D 11 Juni 2026</v>
      </c>
      <c r="M357">
        <f>13/14</f>
        <v>0.9285714285714286</v>
      </c>
      <c r="N357">
        <v>0.9912</v>
      </c>
      <c r="O357">
        <v>1</v>
      </c>
      <c r="P357">
        <v>1</v>
      </c>
      <c r="Q357">
        <v>0.9583</v>
      </c>
      <c r="R357">
        <v>0.9</v>
      </c>
      <c r="S357">
        <v>0.9038</v>
      </c>
      <c r="U357" t="str" xml:space="preserve">
        <v xml:space="preserve">- Chiller No. 1 T1B sensor oil temperatur error_x000d_
- Kerusakan Salvage</v>
      </c>
      <c r="V357">
        <v>1</v>
      </c>
      <c r="W357">
        <v>1</v>
      </c>
      <c r="X357">
        <v>1</v>
      </c>
      <c r="Y357">
        <v>0</v>
      </c>
      <c r="Z357">
        <v>0.94</v>
      </c>
      <c r="AA357">
        <v>1</v>
      </c>
      <c r="AB357">
        <v>1</v>
      </c>
      <c r="AC357">
        <v>0.919</v>
      </c>
      <c r="AD357">
        <v>1</v>
      </c>
      <c r="AE357">
        <v>0.982</v>
      </c>
      <c r="AF357">
        <v>0.994</v>
      </c>
      <c r="AG357">
        <v>1</v>
      </c>
      <c r="AH35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7" t="str">
        <v>May</v>
      </c>
      <c r="AJ357" t="str">
        <v>2026</v>
      </c>
    </row>
    <row r="358" xml:space="preserve">
      <c r="A358">
        <v>46165</v>
      </c>
      <c r="B358" t="str">
        <v>Region 4</v>
      </c>
      <c r="C358" t="str">
        <v>Juanda Airport Surabaya</v>
      </c>
      <c r="D358" t="str">
        <v>SUB</v>
      </c>
      <c r="E358">
        <v>0.899999999999999</v>
      </c>
      <c r="F358">
        <v>1</v>
      </c>
      <c r="G358">
        <v>1</v>
      </c>
      <c r="H358">
        <v>1</v>
      </c>
      <c r="I358">
        <v>1</v>
      </c>
      <c r="J358">
        <v>0.958</v>
      </c>
      <c r="K358">
        <v>0.96</v>
      </c>
      <c r="L358" t="str">
        <v>- Kerusakan pada Battrey UPS 200 KVA No.1 Terminal 2 (Proses pelaksanaan Pekerjaan / Spare Part Indent) PO Nomor : 4400011396 TMT 10 Maret 2026 S.D 11 Juni 2026</v>
      </c>
      <c r="M358">
        <f>13/14</f>
        <v>0.9285714285714286</v>
      </c>
      <c r="N358">
        <v>0.9912</v>
      </c>
      <c r="O358">
        <v>1</v>
      </c>
      <c r="P358">
        <v>1</v>
      </c>
      <c r="Q358">
        <v>0.9583</v>
      </c>
      <c r="R358">
        <v>0.9</v>
      </c>
      <c r="S358">
        <v>0.9038</v>
      </c>
      <c r="U358" t="str" xml:space="preserve">
        <v xml:space="preserve">- Chiller No. 1 T1B sensor oil temperatur error_x000d_
- Kerusakan Salvage</v>
      </c>
      <c r="V358">
        <v>1</v>
      </c>
      <c r="W358">
        <v>1</v>
      </c>
      <c r="X358">
        <v>1</v>
      </c>
      <c r="Y358">
        <v>0</v>
      </c>
      <c r="Z358">
        <v>0.94</v>
      </c>
      <c r="AA358">
        <v>1</v>
      </c>
      <c r="AB358">
        <v>1</v>
      </c>
      <c r="AC358">
        <v>0.919</v>
      </c>
      <c r="AD358">
        <v>1</v>
      </c>
      <c r="AE358">
        <v>0.982</v>
      </c>
      <c r="AF358">
        <v>0.994</v>
      </c>
      <c r="AG358">
        <v>1</v>
      </c>
      <c r="AH35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8" t="str">
        <v>May</v>
      </c>
      <c r="AJ358" t="str">
        <v>2026</v>
      </c>
    </row>
    <row r="359" xml:space="preserve">
      <c r="A359">
        <v>46166</v>
      </c>
      <c r="B359" t="str">
        <v>Region 4</v>
      </c>
      <c r="C359" t="str">
        <v>Juanda Airport Surabaya</v>
      </c>
      <c r="D359" t="str">
        <v>SUB</v>
      </c>
      <c r="E359">
        <v>0.899999999999999</v>
      </c>
      <c r="F359">
        <v>1</v>
      </c>
      <c r="G359">
        <v>1</v>
      </c>
      <c r="H359">
        <v>1</v>
      </c>
      <c r="I359">
        <v>1</v>
      </c>
      <c r="J359">
        <v>0.958</v>
      </c>
      <c r="K359">
        <v>0.96</v>
      </c>
      <c r="L359" t="str">
        <v>- Kerusakan pada Battrey UPS 200 KVA No.1 Terminal 2 (Proses pelaksanaan Pekerjaan / Spare Part Indent) PO Nomor : 4400011396 TMT 10 Maret 2026 S.D 11 Juni 2026</v>
      </c>
      <c r="M359">
        <f>13/14</f>
        <v>0.9285714285714286</v>
      </c>
      <c r="N359">
        <v>0.9912</v>
      </c>
      <c r="O359">
        <v>1</v>
      </c>
      <c r="P359">
        <v>1</v>
      </c>
      <c r="Q359">
        <v>0.9583</v>
      </c>
      <c r="R359">
        <v>0.9</v>
      </c>
      <c r="S359">
        <v>0.9038</v>
      </c>
      <c r="U359" t="str" xml:space="preserve">
        <v xml:space="preserve">- Chiller No. 1 T1B sensor oil temperatur error_x000d_
- Kerusakan Salvage</v>
      </c>
      <c r="V359">
        <v>1</v>
      </c>
      <c r="W359">
        <v>1</v>
      </c>
      <c r="X359">
        <v>1</v>
      </c>
      <c r="Y359">
        <v>0</v>
      </c>
      <c r="Z359">
        <v>0.94</v>
      </c>
      <c r="AA359">
        <v>1</v>
      </c>
      <c r="AB359">
        <v>1</v>
      </c>
      <c r="AC359">
        <v>0.919</v>
      </c>
      <c r="AD359">
        <v>1</v>
      </c>
      <c r="AE359">
        <v>0.982</v>
      </c>
      <c r="AF359">
        <v>0.994</v>
      </c>
      <c r="AG359">
        <v>1</v>
      </c>
      <c r="AH35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59" t="str">
        <v>May</v>
      </c>
      <c r="AJ359" t="str">
        <v>2026</v>
      </c>
    </row>
    <row r="360" xml:space="preserve">
      <c r="A360">
        <v>46167</v>
      </c>
      <c r="B360" t="str">
        <v>Region 4</v>
      </c>
      <c r="C360" t="str">
        <v>Juanda Airport Surabaya</v>
      </c>
      <c r="D360" t="str">
        <v>SUB</v>
      </c>
      <c r="E360">
        <v>0.899999999999999</v>
      </c>
      <c r="F360">
        <v>1</v>
      </c>
      <c r="G360">
        <v>1</v>
      </c>
      <c r="H360">
        <v>1</v>
      </c>
      <c r="I360">
        <v>1</v>
      </c>
      <c r="J360">
        <v>0.958</v>
      </c>
      <c r="K360">
        <v>0.96</v>
      </c>
      <c r="L360" t="str">
        <v>- Kerusakan pada Battrey UPS 200 KVA No.1 Terminal 2 (Proses pelaksanaan Pekerjaan / Spare Part Indent) PO Nomor : 4400011396 TMT 10 Maret 2026 S.D 11 Juni 2026</v>
      </c>
      <c r="M360">
        <f>13/14</f>
        <v>0.9285714285714286</v>
      </c>
      <c r="N360">
        <v>0.9912</v>
      </c>
      <c r="O360">
        <v>1</v>
      </c>
      <c r="P360">
        <v>1</v>
      </c>
      <c r="Q360">
        <v>0.9583</v>
      </c>
      <c r="R360">
        <v>0.9</v>
      </c>
      <c r="S360">
        <v>0.9038</v>
      </c>
      <c r="U360" t="str" xml:space="preserve">
        <v xml:space="preserve">- Chiller No. 1 T1B sensor oil temperatur error_x000d_
- Kerusakan Salvage</v>
      </c>
      <c r="V360">
        <v>1</v>
      </c>
      <c r="W360">
        <v>1</v>
      </c>
      <c r="X360">
        <v>1</v>
      </c>
      <c r="Y360">
        <v>0</v>
      </c>
      <c r="Z360">
        <v>0.94</v>
      </c>
      <c r="AA360">
        <v>1</v>
      </c>
      <c r="AB360">
        <v>1</v>
      </c>
      <c r="AC360">
        <v>0.919</v>
      </c>
      <c r="AD360">
        <v>1</v>
      </c>
      <c r="AE360">
        <v>0.982</v>
      </c>
      <c r="AF360">
        <v>0.994</v>
      </c>
      <c r="AG360">
        <v>1</v>
      </c>
      <c r="AH36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0" t="str">
        <v>May</v>
      </c>
      <c r="AJ360" t="str">
        <v>2026</v>
      </c>
    </row>
    <row r="361" xml:space="preserve">
      <c r="A361">
        <v>46168</v>
      </c>
      <c r="B361" t="str">
        <v>Region 4</v>
      </c>
      <c r="C361" t="str">
        <v>Juanda Airport Surabaya</v>
      </c>
      <c r="D361" t="str">
        <v>SUB</v>
      </c>
      <c r="E361">
        <v>0.899999999999999</v>
      </c>
      <c r="F361">
        <v>1</v>
      </c>
      <c r="G361">
        <v>1</v>
      </c>
      <c r="H361">
        <v>1</v>
      </c>
      <c r="I361">
        <v>1</v>
      </c>
      <c r="J361">
        <v>0.958</v>
      </c>
      <c r="K361">
        <v>0.96</v>
      </c>
      <c r="L361" t="str">
        <v>- Kerusakan pada Battrey UPS 200 KVA No.1 Terminal 2 (Proses pelaksanaan Pekerjaan / Spare Part Indent) PO Nomor : 4400011396 TMT 10 Maret 2026 S.D 11 Juni 2026</v>
      </c>
      <c r="M361">
        <f>13/14</f>
        <v>0.9285714285714286</v>
      </c>
      <c r="N361">
        <v>0.9912</v>
      </c>
      <c r="O361">
        <v>1</v>
      </c>
      <c r="P361">
        <v>1</v>
      </c>
      <c r="Q361">
        <v>0.9583</v>
      </c>
      <c r="R361">
        <v>0.9</v>
      </c>
      <c r="S361">
        <v>0.9038</v>
      </c>
      <c r="U361" t="str" xml:space="preserve">
        <v xml:space="preserve">- Chiller No. 1 T1B sensor oil temperatur error_x000d_
- Kerusakan Salvage</v>
      </c>
      <c r="V361">
        <v>1</v>
      </c>
      <c r="W361">
        <v>1</v>
      </c>
      <c r="X361">
        <v>1</v>
      </c>
      <c r="Y361">
        <v>0</v>
      </c>
      <c r="Z361">
        <v>0.94</v>
      </c>
      <c r="AA361">
        <v>1</v>
      </c>
      <c r="AB361">
        <v>1</v>
      </c>
      <c r="AC361">
        <v>0.919</v>
      </c>
      <c r="AD361">
        <v>1</v>
      </c>
      <c r="AE361">
        <v>0.982</v>
      </c>
      <c r="AF361">
        <v>0.994</v>
      </c>
      <c r="AG361">
        <v>1</v>
      </c>
      <c r="AH36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1" t="str">
        <v>May</v>
      </c>
      <c r="AJ361" t="str">
        <v>2026</v>
      </c>
    </row>
    <row r="362" xml:space="preserve">
      <c r="A362">
        <v>46169</v>
      </c>
      <c r="B362" t="str">
        <v>Region 4</v>
      </c>
      <c r="C362" t="str">
        <v>Juanda Airport Surabaya</v>
      </c>
      <c r="D362" t="str">
        <v>SUB</v>
      </c>
      <c r="E362">
        <v>0.899999999999999</v>
      </c>
      <c r="F362">
        <v>1</v>
      </c>
      <c r="G362">
        <v>1</v>
      </c>
      <c r="H362">
        <v>1</v>
      </c>
      <c r="I362">
        <v>1</v>
      </c>
      <c r="J362">
        <v>0.958</v>
      </c>
      <c r="K362">
        <v>0.96</v>
      </c>
      <c r="L362" t="str">
        <v>- Kerusakan pada Battrey UPS 200 KVA No.1 Terminal 2 (Proses pelaksanaan Pekerjaan / Spare Part Indent) PO Nomor : 4400011396 TMT 10 Maret 2026 S.D 11 Juni 2026</v>
      </c>
      <c r="M362">
        <f>13/14</f>
        <v>0.9285714285714286</v>
      </c>
      <c r="N362">
        <v>0.9912</v>
      </c>
      <c r="O362">
        <v>1</v>
      </c>
      <c r="P362">
        <v>1</v>
      </c>
      <c r="Q362">
        <v>0.9583</v>
      </c>
      <c r="R362">
        <v>0.9</v>
      </c>
      <c r="S362">
        <v>0.9038</v>
      </c>
      <c r="U362" t="str" xml:space="preserve">
        <v xml:space="preserve">- Chiller No. 1 T1B sensor oil temperatur error_x000d_
- Kerusakan Salvage</v>
      </c>
      <c r="V362">
        <v>1</v>
      </c>
      <c r="W362">
        <v>1</v>
      </c>
      <c r="X362">
        <v>1</v>
      </c>
      <c r="Y362">
        <v>0</v>
      </c>
      <c r="Z362">
        <v>0.94</v>
      </c>
      <c r="AA362">
        <v>1</v>
      </c>
      <c r="AB362">
        <v>1</v>
      </c>
      <c r="AC362">
        <v>0.919</v>
      </c>
      <c r="AD362">
        <v>1</v>
      </c>
      <c r="AE362">
        <v>0.982</v>
      </c>
      <c r="AF362">
        <v>0.994</v>
      </c>
      <c r="AG362">
        <v>1</v>
      </c>
      <c r="AH36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2" t="str">
        <v>May</v>
      </c>
      <c r="AJ362" t="str">
        <v>2026</v>
      </c>
    </row>
    <row r="363" xml:space="preserve">
      <c r="A363">
        <v>46170</v>
      </c>
      <c r="B363" t="str">
        <v>Region 4</v>
      </c>
      <c r="C363" t="str">
        <v>Juanda Airport Surabaya</v>
      </c>
      <c r="D363" t="str">
        <v>SUB</v>
      </c>
      <c r="E363">
        <v>0.899999999999999</v>
      </c>
      <c r="F363">
        <v>1</v>
      </c>
      <c r="G363">
        <v>1</v>
      </c>
      <c r="H363">
        <v>1</v>
      </c>
      <c r="I363">
        <v>1</v>
      </c>
      <c r="J363">
        <v>0.958</v>
      </c>
      <c r="K363">
        <v>0.96</v>
      </c>
      <c r="L363" t="str">
        <v>- Kerusakan pada Battrey UPS 200 KVA No.1 Terminal 2 (Proses pelaksanaan Pekerjaan / Spare Part Indent) PO Nomor : 4400011396 TMT 10 Maret 2026 S.D 11 Juni 2026</v>
      </c>
      <c r="M363">
        <f>13/14</f>
        <v>0.9285714285714286</v>
      </c>
      <c r="N363">
        <v>0.9912</v>
      </c>
      <c r="O363">
        <v>1</v>
      </c>
      <c r="P363">
        <v>1</v>
      </c>
      <c r="Q363">
        <v>0.9583</v>
      </c>
      <c r="R363">
        <v>0.9</v>
      </c>
      <c r="S363">
        <v>0.9038</v>
      </c>
      <c r="U363" t="str" xml:space="preserve">
        <v xml:space="preserve">- Chiller No. 1 T1B sensor oil temperatur error_x000d_
- Kerusakan Salvage</v>
      </c>
      <c r="V363">
        <v>1</v>
      </c>
      <c r="W363">
        <v>1</v>
      </c>
      <c r="X363">
        <v>1</v>
      </c>
      <c r="Y363">
        <v>0</v>
      </c>
      <c r="Z363">
        <v>0.94</v>
      </c>
      <c r="AA363">
        <v>1</v>
      </c>
      <c r="AB363">
        <v>1</v>
      </c>
      <c r="AC363">
        <v>0.919</v>
      </c>
      <c r="AD363">
        <v>1</v>
      </c>
      <c r="AE363">
        <v>0.982</v>
      </c>
      <c r="AF363">
        <v>0.994</v>
      </c>
      <c r="AG363">
        <v>1</v>
      </c>
      <c r="AH36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3" t="str">
        <v>May</v>
      </c>
      <c r="AJ363" t="str">
        <v>2026</v>
      </c>
    </row>
    <row r="364" xml:space="preserve">
      <c r="A364">
        <v>46171</v>
      </c>
      <c r="B364" t="str">
        <v>Region 4</v>
      </c>
      <c r="C364" t="str">
        <v>Juanda Airport Surabaya</v>
      </c>
      <c r="D364" t="str">
        <v>SUB</v>
      </c>
      <c r="E364">
        <v>0.899999999999999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0.96</v>
      </c>
      <c r="M364">
        <f>13/14</f>
        <v>0.9285714285714286</v>
      </c>
      <c r="N364">
        <v>0.9912</v>
      </c>
      <c r="O364">
        <v>1</v>
      </c>
      <c r="P364">
        <v>1</v>
      </c>
      <c r="Q364">
        <v>0.9583</v>
      </c>
      <c r="R364">
        <v>0.9</v>
      </c>
      <c r="S364">
        <v>0.9038</v>
      </c>
      <c r="U364" t="str" xml:space="preserve">
        <v xml:space="preserve">- Chiller No. 1 T1B sensor oil temperatur error_x000d_
- Kerusakan Salvage</v>
      </c>
      <c r="V364">
        <v>1</v>
      </c>
      <c r="W364">
        <v>1</v>
      </c>
      <c r="X364">
        <v>1</v>
      </c>
      <c r="Y364">
        <v>0</v>
      </c>
      <c r="Z364">
        <v>0.94</v>
      </c>
      <c r="AA364">
        <v>1</v>
      </c>
      <c r="AB364">
        <v>1</v>
      </c>
      <c r="AC364">
        <v>0.919</v>
      </c>
      <c r="AD364">
        <v>1</v>
      </c>
      <c r="AE364">
        <v>0.981999999999999</v>
      </c>
      <c r="AF364">
        <v>0.994000000000001</v>
      </c>
      <c r="AG364">
        <v>1</v>
      </c>
      <c r="AH36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4" t="str">
        <v>May</v>
      </c>
      <c r="AJ364" t="str">
        <v>2026</v>
      </c>
    </row>
    <row r="365" xml:space="preserve">
      <c r="A365">
        <v>46172</v>
      </c>
      <c r="B365" t="str">
        <v>Region 4</v>
      </c>
      <c r="C365" t="str">
        <v>Juanda Airport Surabaya</v>
      </c>
      <c r="D365" t="str">
        <v>SUB</v>
      </c>
      <c r="E365">
        <v>0.899999999999999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0.96</v>
      </c>
      <c r="M365">
        <f>13/14</f>
        <v>0.9285714285714286</v>
      </c>
      <c r="N365">
        <v>0.9912</v>
      </c>
      <c r="O365">
        <v>1</v>
      </c>
      <c r="P365">
        <v>1</v>
      </c>
      <c r="Q365">
        <v>0.9583</v>
      </c>
      <c r="R365">
        <v>0.9</v>
      </c>
      <c r="S365">
        <v>0.9038</v>
      </c>
      <c r="U365" t="str" xml:space="preserve">
        <v xml:space="preserve">- Chiller No. 1 T1B sensor oil temperatur error_x000d_
- Kerusakan Salvage</v>
      </c>
      <c r="V365">
        <v>1</v>
      </c>
      <c r="W365">
        <v>1</v>
      </c>
      <c r="X365">
        <v>1</v>
      </c>
      <c r="Y365">
        <v>0</v>
      </c>
      <c r="Z365">
        <v>0.940000000000001</v>
      </c>
      <c r="AA365">
        <v>1</v>
      </c>
      <c r="AB365">
        <v>1</v>
      </c>
      <c r="AC365">
        <v>0.919</v>
      </c>
      <c r="AD365">
        <v>1</v>
      </c>
      <c r="AE365">
        <v>0.981999999999999</v>
      </c>
      <c r="AF365">
        <v>0.994000000000001</v>
      </c>
      <c r="AG365">
        <v>1</v>
      </c>
      <c r="AH36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5" t="str">
        <v>May</v>
      </c>
      <c r="AJ365" t="str">
        <v>2026</v>
      </c>
    </row>
    <row r="366" xml:space="preserve">
      <c r="A366">
        <v>46173</v>
      </c>
      <c r="B366" t="str">
        <v>Region 4</v>
      </c>
      <c r="C366" t="str">
        <v>Juanda Airport Surabaya</v>
      </c>
      <c r="D366" t="str">
        <v>SUB</v>
      </c>
      <c r="E366">
        <v>0.899999999999999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0.96</v>
      </c>
      <c r="M366">
        <f>13/14</f>
        <v>0.9285714285714286</v>
      </c>
      <c r="N366">
        <v>0.9912</v>
      </c>
      <c r="O366">
        <v>1</v>
      </c>
      <c r="P366">
        <v>1</v>
      </c>
      <c r="Q366">
        <v>0.9583</v>
      </c>
      <c r="R366">
        <v>0.9</v>
      </c>
      <c r="S366">
        <v>0.9038</v>
      </c>
      <c r="U366" t="str" xml:space="preserve">
        <v xml:space="preserve">- Chiller No. 1 T1B sensor oil temperatur error_x000d_
- Kerusakan Salvage</v>
      </c>
      <c r="V366">
        <v>1</v>
      </c>
      <c r="W366">
        <v>1</v>
      </c>
      <c r="X366">
        <v>1</v>
      </c>
      <c r="Y366">
        <v>0</v>
      </c>
      <c r="Z366">
        <v>0.940000000000001</v>
      </c>
      <c r="AA366">
        <v>1</v>
      </c>
      <c r="AB366">
        <v>1</v>
      </c>
      <c r="AC366">
        <v>0.919</v>
      </c>
      <c r="AD366">
        <v>1</v>
      </c>
      <c r="AE366">
        <v>0.981999999999999</v>
      </c>
      <c r="AF366">
        <v>0.994000000000001</v>
      </c>
      <c r="AG366">
        <v>1</v>
      </c>
      <c r="AH36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6" t="str">
        <v>May</v>
      </c>
      <c r="AJ366" t="str">
        <v>2026</v>
      </c>
    </row>
    <row r="367" xml:space="preserve">
      <c r="A367">
        <v>46174</v>
      </c>
      <c r="B367" t="str">
        <v>Region 4</v>
      </c>
      <c r="C367" t="str">
        <v>Juanda Airport Surabaya</v>
      </c>
      <c r="D367" t="str">
        <v>SUB</v>
      </c>
      <c r="E367">
        <v>0.899999999999999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0.96</v>
      </c>
      <c r="M367">
        <f>13/14</f>
        <v>0.9285714285714286</v>
      </c>
      <c r="N367">
        <v>0.9912</v>
      </c>
      <c r="O367">
        <v>1</v>
      </c>
      <c r="P367">
        <v>1</v>
      </c>
      <c r="Q367">
        <v>0.9583</v>
      </c>
      <c r="R367">
        <v>0.9</v>
      </c>
      <c r="S367">
        <v>0.9038</v>
      </c>
      <c r="U367" t="str" xml:space="preserve">
        <v xml:space="preserve">- Chiller No. 1 T1B sensor oil temperatur error_x000d_
- Kerusakan Salvage</v>
      </c>
      <c r="V367">
        <v>1</v>
      </c>
      <c r="W367">
        <v>1</v>
      </c>
      <c r="X367">
        <v>1</v>
      </c>
      <c r="Y367">
        <v>0</v>
      </c>
      <c r="Z367">
        <v>0.940000000000001</v>
      </c>
      <c r="AA367">
        <v>1</v>
      </c>
      <c r="AB367">
        <v>1</v>
      </c>
      <c r="AC367">
        <v>0.919</v>
      </c>
      <c r="AD367">
        <v>1</v>
      </c>
      <c r="AE367">
        <v>0.981999999999999</v>
      </c>
      <c r="AF367">
        <v>0.994000000000001</v>
      </c>
      <c r="AG367">
        <v>1</v>
      </c>
      <c r="AH36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7" t="str">
        <v>June</v>
      </c>
      <c r="AJ367" t="str">
        <v>2026</v>
      </c>
    </row>
    <row r="368" xml:space="preserve">
      <c r="A368">
        <v>46175</v>
      </c>
      <c r="B368" t="str">
        <v>Region 4</v>
      </c>
      <c r="C368" t="str">
        <v>Juanda Airport Surabaya</v>
      </c>
      <c r="D368" t="str">
        <v>SUB</v>
      </c>
      <c r="E368">
        <v>0.899999999999999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0.96</v>
      </c>
      <c r="M368">
        <f>13/14</f>
        <v>0.9285714285714286</v>
      </c>
      <c r="N368">
        <v>0.9912</v>
      </c>
      <c r="O368">
        <v>1</v>
      </c>
      <c r="P368">
        <v>1</v>
      </c>
      <c r="Q368">
        <v>0.9583</v>
      </c>
      <c r="R368">
        <v>0.9</v>
      </c>
      <c r="S368">
        <v>0.9038</v>
      </c>
      <c r="U368" t="str" xml:space="preserve">
        <v xml:space="preserve">- Chiller No. 1 T1B sensor oil temperatur error_x000d_
- Kerusakan Salvage</v>
      </c>
      <c r="V368">
        <v>1</v>
      </c>
      <c r="W368">
        <v>1</v>
      </c>
      <c r="X368">
        <v>1</v>
      </c>
      <c r="Y368">
        <v>0</v>
      </c>
      <c r="Z368">
        <v>0.940000000000001</v>
      </c>
      <c r="AA368">
        <v>1</v>
      </c>
      <c r="AB368">
        <v>1</v>
      </c>
      <c r="AC368">
        <v>0.919</v>
      </c>
      <c r="AD368">
        <v>1</v>
      </c>
      <c r="AE368">
        <v>0.981999999999999</v>
      </c>
      <c r="AF368">
        <v>0.994000000000001</v>
      </c>
      <c r="AG368">
        <v>1</v>
      </c>
      <c r="AH36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8" t="str">
        <v>June</v>
      </c>
      <c r="AJ368" t="str">
        <v>2026</v>
      </c>
    </row>
    <row r="369" xml:space="preserve">
      <c r="A369">
        <v>46176</v>
      </c>
      <c r="B369" t="str">
        <v>Region 4</v>
      </c>
      <c r="C369" t="str">
        <v>Juanda Airport Surabaya</v>
      </c>
      <c r="D369" t="str">
        <v>SUB</v>
      </c>
      <c r="E369">
        <v>0.899999999999999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0.96</v>
      </c>
      <c r="M369">
        <f>13/14</f>
        <v>0.9285714285714286</v>
      </c>
      <c r="N369">
        <v>0.9912</v>
      </c>
      <c r="O369">
        <v>1</v>
      </c>
      <c r="P369">
        <v>1</v>
      </c>
      <c r="Q369">
        <v>0.9583</v>
      </c>
      <c r="R369">
        <v>0.9</v>
      </c>
      <c r="S369">
        <v>0.9038</v>
      </c>
      <c r="U369" t="str" xml:space="preserve">
        <v xml:space="preserve">- Chiller No. 1 T1B sensor oil temperatur error_x000d_
- Kerusakan Salvage</v>
      </c>
      <c r="V369">
        <v>1</v>
      </c>
      <c r="W369">
        <v>1</v>
      </c>
      <c r="X369">
        <v>1</v>
      </c>
      <c r="Y369">
        <v>0</v>
      </c>
      <c r="Z369">
        <v>0.940000000000001</v>
      </c>
      <c r="AA369">
        <v>1</v>
      </c>
      <c r="AB369">
        <v>1</v>
      </c>
      <c r="AC369">
        <v>0.919</v>
      </c>
      <c r="AD369">
        <v>1</v>
      </c>
      <c r="AE369">
        <v>0.981999999999999</v>
      </c>
      <c r="AF369">
        <v>0.994000000000001</v>
      </c>
      <c r="AG369">
        <v>1</v>
      </c>
      <c r="AH36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69" t="str">
        <v>June</v>
      </c>
      <c r="AJ369" t="str">
        <v>2026</v>
      </c>
    </row>
    <row r="370" xml:space="preserve">
      <c r="A370">
        <v>46177</v>
      </c>
      <c r="B370" t="str">
        <v>Region 4</v>
      </c>
      <c r="C370" t="str">
        <v>Juanda Airport Surabaya</v>
      </c>
      <c r="D370" t="str">
        <v>SUB</v>
      </c>
      <c r="E370">
        <v>0.899999999999999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0.96</v>
      </c>
      <c r="M370">
        <f>13/14</f>
        <v>0.9285714285714286</v>
      </c>
      <c r="N370">
        <v>0.9912</v>
      </c>
      <c r="O370">
        <v>1</v>
      </c>
      <c r="P370">
        <v>1</v>
      </c>
      <c r="Q370">
        <v>0.9583</v>
      </c>
      <c r="R370">
        <v>0.9</v>
      </c>
      <c r="S370">
        <v>0.9038</v>
      </c>
      <c r="U370" t="str" xml:space="preserve">
        <v xml:space="preserve">- Chiller No. 1 T1B sensor oil temperatur error_x000d_
- Kerusakan Salvage</v>
      </c>
      <c r="V370">
        <v>1</v>
      </c>
      <c r="W370">
        <v>1</v>
      </c>
      <c r="X370">
        <v>1</v>
      </c>
      <c r="Y370">
        <v>0</v>
      </c>
      <c r="Z370">
        <v>0.940000000000001</v>
      </c>
      <c r="AA370">
        <v>1</v>
      </c>
      <c r="AB370">
        <v>1</v>
      </c>
      <c r="AC370">
        <v>0.919</v>
      </c>
      <c r="AD370">
        <v>1</v>
      </c>
      <c r="AE370">
        <v>0.981999999999999</v>
      </c>
      <c r="AF370">
        <v>0.994000000000001</v>
      </c>
      <c r="AG370">
        <v>1</v>
      </c>
      <c r="AH37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0" t="str">
        <v>June</v>
      </c>
      <c r="AJ370" t="str">
        <v>2026</v>
      </c>
    </row>
    <row r="371" xml:space="preserve">
      <c r="A371">
        <v>46178</v>
      </c>
      <c r="B371" t="str">
        <v>Region 4</v>
      </c>
      <c r="C371" t="str">
        <v>Juanda Airport Surabaya</v>
      </c>
      <c r="D371" t="str">
        <v>SUB</v>
      </c>
      <c r="E371">
        <v>0.899999999999999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0.96</v>
      </c>
      <c r="M371">
        <f>13/14</f>
        <v>0.9285714285714286</v>
      </c>
      <c r="N371">
        <v>0.9912</v>
      </c>
      <c r="O371">
        <v>1</v>
      </c>
      <c r="P371">
        <v>1</v>
      </c>
      <c r="Q371">
        <v>0.9583</v>
      </c>
      <c r="R371">
        <v>0.9</v>
      </c>
      <c r="S371">
        <v>0.9038</v>
      </c>
      <c r="U371" t="str" xml:space="preserve">
        <v xml:space="preserve">- Chiller No. 1 T1B sensor oil temperatur error_x000d_
- Kerusakan Salvage</v>
      </c>
      <c r="V371">
        <v>1</v>
      </c>
      <c r="W371">
        <v>1</v>
      </c>
      <c r="X371">
        <v>1</v>
      </c>
      <c r="Y371">
        <v>0</v>
      </c>
      <c r="Z371">
        <v>0.940000000000001</v>
      </c>
      <c r="AA371">
        <v>1</v>
      </c>
      <c r="AB371">
        <v>1</v>
      </c>
      <c r="AC371">
        <v>0.919</v>
      </c>
      <c r="AD371">
        <v>1</v>
      </c>
      <c r="AE371">
        <v>0.981999999999999</v>
      </c>
      <c r="AF371">
        <v>0.994000000000001</v>
      </c>
      <c r="AG371">
        <v>1</v>
      </c>
      <c r="AH37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1" t="str">
        <v>June</v>
      </c>
      <c r="AJ371" t="str">
        <v>2026</v>
      </c>
    </row>
    <row r="372" xml:space="preserve">
      <c r="A372">
        <v>46179</v>
      </c>
      <c r="B372" t="str">
        <v>Region 4</v>
      </c>
      <c r="C372" t="str">
        <v>Juanda Airport Surabaya</v>
      </c>
      <c r="D372" t="str">
        <v>SUB</v>
      </c>
      <c r="E372">
        <v>0.899999999999999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0.96</v>
      </c>
      <c r="M372">
        <f>13/14</f>
        <v>0.9285714285714286</v>
      </c>
      <c r="N372">
        <v>0.9912</v>
      </c>
      <c r="O372">
        <v>1</v>
      </c>
      <c r="P372">
        <v>1</v>
      </c>
      <c r="Q372">
        <v>0.9583</v>
      </c>
      <c r="R372">
        <v>0.9</v>
      </c>
      <c r="S372">
        <v>0.9038</v>
      </c>
      <c r="U372" t="str" xml:space="preserve">
        <v xml:space="preserve">- Chiller No. 1 T1B sensor oil temperatur error_x000d_
- Kerusakan Salvage</v>
      </c>
      <c r="V372">
        <v>1</v>
      </c>
      <c r="W372">
        <v>1</v>
      </c>
      <c r="X372">
        <v>1</v>
      </c>
      <c r="Y372">
        <v>0</v>
      </c>
      <c r="Z372">
        <v>0.940000000000001</v>
      </c>
      <c r="AA372">
        <v>1</v>
      </c>
      <c r="AB372">
        <v>1</v>
      </c>
      <c r="AC372">
        <v>0.919</v>
      </c>
      <c r="AD372">
        <v>1</v>
      </c>
      <c r="AE372">
        <v>0.981999999999999</v>
      </c>
      <c r="AF372">
        <v>0.994000000000001</v>
      </c>
      <c r="AG372">
        <v>1</v>
      </c>
      <c r="AH37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2" t="str">
        <v>June</v>
      </c>
      <c r="AJ372" t="str">
        <v>2026</v>
      </c>
    </row>
    <row r="373" xml:space="preserve">
      <c r="A373">
        <v>46180</v>
      </c>
      <c r="B373" t="str">
        <v>Region 4</v>
      </c>
      <c r="C373" t="str">
        <v>Juanda Airport Surabaya</v>
      </c>
      <c r="D373" t="str">
        <v>SUB</v>
      </c>
      <c r="E373">
        <v>0.899999999999999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0.96</v>
      </c>
      <c r="M373">
        <f>13/14</f>
        <v>0.9285714285714286</v>
      </c>
      <c r="N373">
        <v>0.9912</v>
      </c>
      <c r="O373">
        <v>1</v>
      </c>
      <c r="P373">
        <v>1</v>
      </c>
      <c r="Q373">
        <v>0.9583</v>
      </c>
      <c r="R373">
        <v>0.9</v>
      </c>
      <c r="S373">
        <v>0.9038</v>
      </c>
      <c r="U373" t="str" xml:space="preserve">
        <v xml:space="preserve">- Chiller No. 1 T1B sensor oil temperatur error_x000d_
- Kerusakan Salvage</v>
      </c>
      <c r="V373">
        <v>1</v>
      </c>
      <c r="W373">
        <v>1</v>
      </c>
      <c r="X373">
        <v>1</v>
      </c>
      <c r="Y373">
        <v>0</v>
      </c>
      <c r="Z373">
        <v>0.940000000000001</v>
      </c>
      <c r="AA373">
        <v>1</v>
      </c>
      <c r="AB373">
        <v>1</v>
      </c>
      <c r="AC373">
        <v>0.919</v>
      </c>
      <c r="AD373">
        <v>1</v>
      </c>
      <c r="AE373">
        <v>0.981999999999999</v>
      </c>
      <c r="AF373">
        <v>0.994000000000001</v>
      </c>
      <c r="AG373">
        <v>1</v>
      </c>
      <c r="AH37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3" t="str">
        <v>June</v>
      </c>
      <c r="AJ373" t="str">
        <v>2026</v>
      </c>
    </row>
    <row r="374" xml:space="preserve">
      <c r="A374">
        <v>46181</v>
      </c>
      <c r="B374" t="str">
        <v>Region 4</v>
      </c>
      <c r="C374" t="str">
        <v>Juanda Airport Surabaya</v>
      </c>
      <c r="D374" t="str">
        <v>SUB</v>
      </c>
      <c r="E374">
        <v>0.899999999999999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0.96</v>
      </c>
      <c r="M374">
        <f>13/14</f>
        <v>0.9285714285714286</v>
      </c>
      <c r="N374">
        <v>0.9912</v>
      </c>
      <c r="O374">
        <v>1</v>
      </c>
      <c r="P374">
        <v>1</v>
      </c>
      <c r="Q374">
        <v>0.9583</v>
      </c>
      <c r="R374">
        <v>0.9</v>
      </c>
      <c r="S374">
        <v>0.9038</v>
      </c>
      <c r="U374" t="str" xml:space="preserve">
        <v xml:space="preserve">- Chiller No. 1 T1B sensor oil temperatur error_x000d_
- Kerusakan Salvage</v>
      </c>
      <c r="V374">
        <v>1</v>
      </c>
      <c r="W374">
        <v>1</v>
      </c>
      <c r="X374">
        <v>1</v>
      </c>
      <c r="Y374">
        <v>0</v>
      </c>
      <c r="Z374">
        <v>0.940000000000001</v>
      </c>
      <c r="AA374">
        <v>1</v>
      </c>
      <c r="AB374">
        <v>1</v>
      </c>
      <c r="AC374">
        <v>0.919</v>
      </c>
      <c r="AD374">
        <v>1</v>
      </c>
      <c r="AE374">
        <v>0.981999999999999</v>
      </c>
      <c r="AF374">
        <v>0.994000000000001</v>
      </c>
      <c r="AG374">
        <v>1</v>
      </c>
      <c r="AH37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4" t="str">
        <v>June</v>
      </c>
      <c r="AJ374" t="str">
        <v>2026</v>
      </c>
    </row>
    <row r="375" xml:space="preserve">
      <c r="A375">
        <v>46182</v>
      </c>
      <c r="B375" t="str">
        <v>Region 4</v>
      </c>
      <c r="C375" t="str">
        <v>Juanda Airport Surabaya</v>
      </c>
      <c r="D375" t="str">
        <v>SUB</v>
      </c>
      <c r="E375">
        <v>0.899999999999999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0.96</v>
      </c>
      <c r="M375">
        <f>13/14</f>
        <v>0.9285714285714286</v>
      </c>
      <c r="N375">
        <v>0.9912</v>
      </c>
      <c r="O375">
        <v>1</v>
      </c>
      <c r="P375">
        <v>1</v>
      </c>
      <c r="Q375">
        <v>0.9583</v>
      </c>
      <c r="R375">
        <v>0.9</v>
      </c>
      <c r="S375">
        <v>0.9038</v>
      </c>
      <c r="U375" t="str" xml:space="preserve">
        <v xml:space="preserve">- Chiller No. 1 T1B sensor oil temperatur error_x000d_
- Kerusakan Salvage</v>
      </c>
      <c r="V375">
        <v>1</v>
      </c>
      <c r="W375">
        <v>1</v>
      </c>
      <c r="X375">
        <v>1</v>
      </c>
      <c r="Y375">
        <v>0</v>
      </c>
      <c r="Z375">
        <v>0.940000000000001</v>
      </c>
      <c r="AA375">
        <v>1</v>
      </c>
      <c r="AB375">
        <v>1</v>
      </c>
      <c r="AC375">
        <v>0.919</v>
      </c>
      <c r="AD375">
        <v>1</v>
      </c>
      <c r="AE375">
        <v>0.981999999999999</v>
      </c>
      <c r="AF375">
        <v>0.994000000000001</v>
      </c>
      <c r="AG375">
        <v>1</v>
      </c>
      <c r="AH37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5" t="str">
        <v>June</v>
      </c>
      <c r="AJ375" t="str">
        <v>2026</v>
      </c>
    </row>
    <row r="376" xml:space="preserve">
      <c r="A376">
        <v>46183</v>
      </c>
      <c r="B376" t="str">
        <v>Region 4</v>
      </c>
      <c r="C376" t="str">
        <v>Juanda Airport Surabaya</v>
      </c>
      <c r="D376" t="str">
        <v>SUB</v>
      </c>
      <c r="E376">
        <v>0.899999999999999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0.96</v>
      </c>
      <c r="M376">
        <f>13/14</f>
        <v>0.9285714285714286</v>
      </c>
      <c r="N376">
        <v>0.9912</v>
      </c>
      <c r="O376">
        <v>1</v>
      </c>
      <c r="P376">
        <v>1</v>
      </c>
      <c r="Q376">
        <v>0.9583</v>
      </c>
      <c r="R376">
        <v>0.9</v>
      </c>
      <c r="S376">
        <v>0.9038</v>
      </c>
      <c r="U376" t="str" xml:space="preserve">
        <v xml:space="preserve">- Chiller No. 1 T1B sensor oil temperatur error_x000d_
- Kerusakan Salvage</v>
      </c>
      <c r="V376">
        <v>1</v>
      </c>
      <c r="W376">
        <v>1</v>
      </c>
      <c r="X376">
        <v>1</v>
      </c>
      <c r="Y376">
        <v>0</v>
      </c>
      <c r="Z376">
        <v>0.940000000000001</v>
      </c>
      <c r="AA376">
        <v>1</v>
      </c>
      <c r="AB376">
        <v>1</v>
      </c>
      <c r="AC376">
        <v>0.919</v>
      </c>
      <c r="AD376">
        <v>1</v>
      </c>
      <c r="AE376">
        <v>0.981999999999999</v>
      </c>
      <c r="AF376">
        <v>0.994000000000001</v>
      </c>
      <c r="AG376">
        <v>1</v>
      </c>
      <c r="AH37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6" t="str">
        <v>June</v>
      </c>
      <c r="AJ376" t="str">
        <v>2026</v>
      </c>
    </row>
    <row r="377" xml:space="preserve">
      <c r="A377">
        <v>46184</v>
      </c>
      <c r="B377" t="str">
        <v>Region 4</v>
      </c>
      <c r="C377" t="str">
        <v>Juanda Airport Surabaya</v>
      </c>
      <c r="D377" t="str">
        <v>SUB</v>
      </c>
      <c r="E377">
        <v>0.899999999999999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0.96</v>
      </c>
      <c r="M377">
        <f>13/14</f>
        <v>0.9285714285714286</v>
      </c>
      <c r="N377">
        <v>0.9912</v>
      </c>
      <c r="O377">
        <v>1</v>
      </c>
      <c r="P377">
        <v>1</v>
      </c>
      <c r="Q377">
        <v>0.9583</v>
      </c>
      <c r="R377">
        <v>0.9</v>
      </c>
      <c r="S377">
        <v>0.9038</v>
      </c>
      <c r="U377" t="str" xml:space="preserve">
        <v xml:space="preserve">- Chiller No. 1 T1B sensor oil temperatur error_x000d_
- Kerusakan Salvage</v>
      </c>
      <c r="V377">
        <v>1</v>
      </c>
      <c r="W377">
        <v>1</v>
      </c>
      <c r="X377">
        <v>1</v>
      </c>
      <c r="Y377">
        <v>0</v>
      </c>
      <c r="Z377">
        <v>0.940000000000001</v>
      </c>
      <c r="AA377">
        <v>1</v>
      </c>
      <c r="AB377">
        <v>1</v>
      </c>
      <c r="AC377">
        <v>0.919</v>
      </c>
      <c r="AD377">
        <v>1</v>
      </c>
      <c r="AE377">
        <v>0.981999999999999</v>
      </c>
      <c r="AF377">
        <v>0.994000000000001</v>
      </c>
      <c r="AG377">
        <v>1</v>
      </c>
      <c r="AH37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7" t="str">
        <v>June</v>
      </c>
      <c r="AJ377" t="str">
        <v>2026</v>
      </c>
    </row>
    <row r="378" xml:space="preserve">
      <c r="A378">
        <v>46185</v>
      </c>
      <c r="B378" t="str">
        <v>Region 4</v>
      </c>
      <c r="C378" t="str">
        <v>Juanda Airport Surabaya</v>
      </c>
      <c r="D378" t="str">
        <v>SUB</v>
      </c>
      <c r="E378">
        <v>0.899999999999999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0.96</v>
      </c>
      <c r="M378">
        <f>13/14</f>
        <v>0.9285714285714286</v>
      </c>
      <c r="N378">
        <v>0.9912</v>
      </c>
      <c r="O378">
        <v>1</v>
      </c>
      <c r="P378">
        <v>1</v>
      </c>
      <c r="Q378">
        <v>0.9583</v>
      </c>
      <c r="R378">
        <v>0.9</v>
      </c>
      <c r="S378">
        <v>0.9038</v>
      </c>
      <c r="U378" t="str" xml:space="preserve">
        <v xml:space="preserve">- Chiller No. 1 T1B sensor oil temperatur error_x000d_
- Kerusakan Salvage</v>
      </c>
      <c r="V378">
        <v>1</v>
      </c>
      <c r="W378">
        <v>1</v>
      </c>
      <c r="X378">
        <v>1</v>
      </c>
      <c r="Y378">
        <v>0</v>
      </c>
      <c r="Z378">
        <v>0.940000000000001</v>
      </c>
      <c r="AA378">
        <v>1</v>
      </c>
      <c r="AB378">
        <v>1</v>
      </c>
      <c r="AC378">
        <v>0.919</v>
      </c>
      <c r="AD378">
        <v>1</v>
      </c>
      <c r="AE378">
        <v>0.981999999999999</v>
      </c>
      <c r="AF378">
        <v>0.994000000000001</v>
      </c>
      <c r="AG378">
        <v>1</v>
      </c>
      <c r="AH37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8" t="str">
        <v>June</v>
      </c>
      <c r="AJ378" t="str">
        <v>2026</v>
      </c>
    </row>
    <row r="379" xml:space="preserve">
      <c r="A379">
        <v>46186</v>
      </c>
      <c r="B379" t="str">
        <v>Region 4</v>
      </c>
      <c r="C379" t="str">
        <v>Juanda Airport Surabaya</v>
      </c>
      <c r="D379" t="str">
        <v>SUB</v>
      </c>
      <c r="E379">
        <v>0.899999999999999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0.96</v>
      </c>
      <c r="M379">
        <f>13/14</f>
        <v>0.9285714285714286</v>
      </c>
      <c r="N379">
        <v>0.9912</v>
      </c>
      <c r="O379">
        <v>1</v>
      </c>
      <c r="P379">
        <v>1</v>
      </c>
      <c r="Q379">
        <v>0.9583</v>
      </c>
      <c r="R379">
        <v>0.9</v>
      </c>
      <c r="S379">
        <v>0.9038</v>
      </c>
      <c r="U379" t="str" xml:space="preserve">
        <v xml:space="preserve">- Chiller No. 1 T1B sensor oil temperatur error_x000d_
- Kerusakan Salvage</v>
      </c>
      <c r="V379">
        <v>1</v>
      </c>
      <c r="W379">
        <v>1</v>
      </c>
      <c r="X379">
        <v>1</v>
      </c>
      <c r="Y379">
        <v>0</v>
      </c>
      <c r="Z379">
        <v>0.940000000000001</v>
      </c>
      <c r="AA379">
        <v>1</v>
      </c>
      <c r="AB379">
        <v>1</v>
      </c>
      <c r="AC379">
        <v>0.919</v>
      </c>
      <c r="AD379">
        <v>1</v>
      </c>
      <c r="AE379">
        <v>0.981999999999999</v>
      </c>
      <c r="AF379">
        <v>0.994000000000001</v>
      </c>
      <c r="AG379">
        <v>1</v>
      </c>
      <c r="AH37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79" t="str">
        <v>June</v>
      </c>
      <c r="AJ379" t="str">
        <v>2026</v>
      </c>
    </row>
    <row r="380" xml:space="preserve">
      <c r="A380">
        <v>46187</v>
      </c>
      <c r="B380" t="str">
        <v>Region 4</v>
      </c>
      <c r="C380" t="str">
        <v>Juanda Airport Surabaya</v>
      </c>
      <c r="D380" t="str">
        <v>SUB</v>
      </c>
      <c r="E380">
        <v>0.899999999999999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0.96</v>
      </c>
      <c r="M380">
        <f>13/14</f>
        <v>0.9285714285714286</v>
      </c>
      <c r="N380">
        <v>0.9912</v>
      </c>
      <c r="O380">
        <v>1</v>
      </c>
      <c r="P380">
        <v>1</v>
      </c>
      <c r="Q380">
        <v>0.9583</v>
      </c>
      <c r="R380">
        <v>0.9</v>
      </c>
      <c r="S380">
        <v>0.9038</v>
      </c>
      <c r="U380" t="str" xml:space="preserve">
        <v xml:space="preserve">- Chiller No. 1 T1B sensor oil temperatur error_x000d_
- Kerusakan Salvage</v>
      </c>
      <c r="V380">
        <v>1</v>
      </c>
      <c r="W380">
        <v>1</v>
      </c>
      <c r="X380">
        <v>1</v>
      </c>
      <c r="Y380">
        <v>0</v>
      </c>
      <c r="Z380">
        <v>0.940000000000001</v>
      </c>
      <c r="AA380">
        <v>1</v>
      </c>
      <c r="AB380">
        <v>1</v>
      </c>
      <c r="AC380">
        <v>0.919</v>
      </c>
      <c r="AD380">
        <v>1</v>
      </c>
      <c r="AE380">
        <v>0.981999999999999</v>
      </c>
      <c r="AF380">
        <v>0.994000000000001</v>
      </c>
      <c r="AG380">
        <v>1</v>
      </c>
      <c r="AH38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0" t="str">
        <v>June</v>
      </c>
      <c r="AJ380" t="str">
        <v>2026</v>
      </c>
    </row>
    <row r="381" xml:space="preserve">
      <c r="A381">
        <v>46188</v>
      </c>
      <c r="B381" t="str">
        <v>Region 4</v>
      </c>
      <c r="C381" t="str">
        <v>Juanda Airport Surabaya</v>
      </c>
      <c r="D381" t="str">
        <v>SUB</v>
      </c>
      <c r="E381">
        <v>0.899999999999999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0.96</v>
      </c>
      <c r="M381">
        <f>13/14</f>
        <v>0.9285714285714286</v>
      </c>
      <c r="N381">
        <v>0.9912</v>
      </c>
      <c r="O381">
        <v>1</v>
      </c>
      <c r="P381">
        <v>1</v>
      </c>
      <c r="Q381">
        <v>0.9583</v>
      </c>
      <c r="R381">
        <v>0.9</v>
      </c>
      <c r="S381">
        <v>0.9038</v>
      </c>
      <c r="U381" t="str" xml:space="preserve">
        <v xml:space="preserve">- Chiller No. 1 T1B sensor oil temperatur error_x000d_
- Kerusakan Salvage</v>
      </c>
      <c r="V381">
        <v>1</v>
      </c>
      <c r="W381">
        <v>1</v>
      </c>
      <c r="X381">
        <v>1</v>
      </c>
      <c r="Y381">
        <v>0</v>
      </c>
      <c r="Z381">
        <v>0.942</v>
      </c>
      <c r="AA381">
        <v>1</v>
      </c>
      <c r="AB381">
        <v>1</v>
      </c>
      <c r="AC381">
        <v>0.919</v>
      </c>
      <c r="AD381">
        <v>1</v>
      </c>
      <c r="AE381">
        <v>0.989</v>
      </c>
      <c r="AF381">
        <v>0.994000000000001</v>
      </c>
      <c r="AG381">
        <v>1</v>
      </c>
      <c r="AH38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1" t="str">
        <v>June</v>
      </c>
      <c r="AJ381" t="str">
        <v>2026</v>
      </c>
    </row>
    <row r="382" xml:space="preserve">
      <c r="A382">
        <v>46189</v>
      </c>
      <c r="B382" t="str">
        <v>Region 4</v>
      </c>
      <c r="C382" t="str">
        <v>Juanda Airport Surabaya</v>
      </c>
      <c r="D382" t="str">
        <v>SUB</v>
      </c>
      <c r="E382">
        <v>0.899999999999999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0.96</v>
      </c>
      <c r="M382">
        <f>13/14</f>
        <v>0.9285714285714286</v>
      </c>
      <c r="N382">
        <v>0.9912</v>
      </c>
      <c r="O382">
        <v>1</v>
      </c>
      <c r="P382">
        <v>1</v>
      </c>
      <c r="Q382">
        <v>0.9583</v>
      </c>
      <c r="R382">
        <v>0.9</v>
      </c>
      <c r="S382">
        <v>0.9038</v>
      </c>
      <c r="U382" t="str" xml:space="preserve">
        <v xml:space="preserve">- Chiller No. 1 T1B sensor oil temperatur error_x000d_
- Kerusakan Salvage</v>
      </c>
      <c r="V382">
        <v>1</v>
      </c>
      <c r="W382">
        <v>1</v>
      </c>
      <c r="X382">
        <v>1</v>
      </c>
      <c r="Y382">
        <v>0</v>
      </c>
      <c r="Z382">
        <v>0.942</v>
      </c>
      <c r="AA382">
        <v>1</v>
      </c>
      <c r="AB382">
        <v>1</v>
      </c>
      <c r="AC382">
        <v>0.919</v>
      </c>
      <c r="AD382">
        <v>1</v>
      </c>
      <c r="AE382">
        <v>0.989</v>
      </c>
      <c r="AF382">
        <v>0.994000000000001</v>
      </c>
      <c r="AG382">
        <v>1</v>
      </c>
      <c r="AH382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2" t="str">
        <v>June</v>
      </c>
      <c r="AJ382" t="str">
        <v>2026</v>
      </c>
    </row>
    <row r="383" xml:space="preserve">
      <c r="A383">
        <v>46190</v>
      </c>
      <c r="B383" t="str">
        <v>Region 4</v>
      </c>
      <c r="C383" t="str">
        <v>Juanda Airport Surabaya</v>
      </c>
      <c r="D383" t="str">
        <v>SUB</v>
      </c>
      <c r="E383">
        <v>0.899999999999999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0.96</v>
      </c>
      <c r="M383">
        <f>13/14</f>
        <v>0.9285714285714286</v>
      </c>
      <c r="N383">
        <v>0.9912</v>
      </c>
      <c r="O383">
        <v>1</v>
      </c>
      <c r="P383">
        <v>1</v>
      </c>
      <c r="Q383">
        <v>0.9583</v>
      </c>
      <c r="R383">
        <v>0.9</v>
      </c>
      <c r="S383">
        <v>0.9038</v>
      </c>
      <c r="U383" t="str" xml:space="preserve">
        <v xml:space="preserve">- Chiller No. 1 T1B sensor oil temperatur error_x000d_
- Kerusakan Salvage</v>
      </c>
      <c r="V383">
        <v>1</v>
      </c>
      <c r="W383">
        <v>1</v>
      </c>
      <c r="X383">
        <v>1</v>
      </c>
      <c r="Y383">
        <v>0</v>
      </c>
      <c r="Z383">
        <v>0.942</v>
      </c>
      <c r="AA383">
        <v>1</v>
      </c>
      <c r="AB383">
        <v>1</v>
      </c>
      <c r="AC383">
        <v>0.919</v>
      </c>
      <c r="AD383">
        <v>1</v>
      </c>
      <c r="AE383">
        <v>0.989</v>
      </c>
      <c r="AF383">
        <v>0.994000000000001</v>
      </c>
      <c r="AG383">
        <v>1</v>
      </c>
      <c r="AH383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3" t="str">
        <v>June</v>
      </c>
      <c r="AJ383" t="str">
        <v>2026</v>
      </c>
    </row>
    <row r="384" xml:space="preserve">
      <c r="A384">
        <v>46191</v>
      </c>
      <c r="B384" t="str">
        <v>Region 4</v>
      </c>
      <c r="C384" t="str">
        <v>Juanda Airport Surabaya</v>
      </c>
      <c r="D384" t="str">
        <v>SUB</v>
      </c>
      <c r="E384">
        <v>0.899999999999999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0.96</v>
      </c>
      <c r="M384">
        <f>13/14</f>
        <v>0.9285714285714286</v>
      </c>
      <c r="N384">
        <v>0.9912</v>
      </c>
      <c r="O384">
        <v>1</v>
      </c>
      <c r="P384">
        <v>1</v>
      </c>
      <c r="Q384">
        <v>0.9583</v>
      </c>
      <c r="R384">
        <v>0.9</v>
      </c>
      <c r="S384">
        <v>0.9038</v>
      </c>
      <c r="U384" t="str" xml:space="preserve">
        <v xml:space="preserve">- Chiller No. 1 T1B sensor oil temperatur error_x000d_
- Kerusakan Salvage</v>
      </c>
      <c r="V384">
        <v>1</v>
      </c>
      <c r="W384">
        <v>1</v>
      </c>
      <c r="X384">
        <v>1</v>
      </c>
      <c r="Y384">
        <v>0</v>
      </c>
      <c r="Z384">
        <v>0.942</v>
      </c>
      <c r="AA384">
        <v>1</v>
      </c>
      <c r="AB384">
        <v>1</v>
      </c>
      <c r="AC384">
        <v>0.919</v>
      </c>
      <c r="AD384">
        <v>1</v>
      </c>
      <c r="AE384">
        <v>0.989</v>
      </c>
      <c r="AF384">
        <v>0.994000000000001</v>
      </c>
      <c r="AG384">
        <v>1</v>
      </c>
      <c r="AH384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4" t="str">
        <v>June</v>
      </c>
      <c r="AJ384" t="str">
        <v>2026</v>
      </c>
    </row>
    <row r="385" xml:space="preserve">
      <c r="A385">
        <v>46192</v>
      </c>
      <c r="B385" t="str">
        <v>Region 4</v>
      </c>
      <c r="C385" t="str">
        <v>Juanda Airport Surabaya</v>
      </c>
      <c r="D385" t="str">
        <v>SUB</v>
      </c>
      <c r="E385">
        <v>0.899999999999999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0.96</v>
      </c>
      <c r="M385">
        <f>13/14</f>
        <v>0.9285714285714286</v>
      </c>
      <c r="N385">
        <v>0.9912</v>
      </c>
      <c r="O385">
        <v>1</v>
      </c>
      <c r="P385">
        <v>1</v>
      </c>
      <c r="Q385">
        <v>0.9583</v>
      </c>
      <c r="R385">
        <v>0.9</v>
      </c>
      <c r="S385">
        <v>0.9038</v>
      </c>
      <c r="U385" t="str" xml:space="preserve">
        <v xml:space="preserve">- Chiller No. 1 T1B sensor oil temperatur error_x000d_
- Kerusakan Salvage</v>
      </c>
      <c r="V385">
        <v>1</v>
      </c>
      <c r="W385">
        <v>1</v>
      </c>
      <c r="X385">
        <v>1</v>
      </c>
      <c r="Y385">
        <v>0</v>
      </c>
      <c r="Z385">
        <v>0.942</v>
      </c>
      <c r="AA385">
        <v>1</v>
      </c>
      <c r="AB385">
        <v>1</v>
      </c>
      <c r="AC385">
        <v>0.919</v>
      </c>
      <c r="AD385">
        <v>1</v>
      </c>
      <c r="AE385">
        <v>0.989</v>
      </c>
      <c r="AF385">
        <v>0.994000000000001</v>
      </c>
      <c r="AG385">
        <v>1</v>
      </c>
      <c r="AH385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5" t="str">
        <v>June</v>
      </c>
      <c r="AJ385" t="str">
        <v>2026</v>
      </c>
    </row>
    <row r="386" xml:space="preserve">
      <c r="A386">
        <v>46193</v>
      </c>
      <c r="B386" t="str">
        <v>Region 4</v>
      </c>
      <c r="C386" t="str">
        <v>Juanda Airport Surabaya</v>
      </c>
      <c r="D386" t="str">
        <v>SUB</v>
      </c>
      <c r="E386">
        <v>0.899999999999999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0.96</v>
      </c>
      <c r="M386">
        <f>13/14</f>
        <v>0.9285714285714286</v>
      </c>
      <c r="N386">
        <v>0.9912</v>
      </c>
      <c r="O386">
        <v>1</v>
      </c>
      <c r="P386">
        <v>1</v>
      </c>
      <c r="Q386">
        <v>0.9583</v>
      </c>
      <c r="R386">
        <v>0.9</v>
      </c>
      <c r="S386">
        <v>0.9038</v>
      </c>
      <c r="U386" t="str" xml:space="preserve">
        <v xml:space="preserve">- Chiller No. 1 T1B sensor oil temperatur error_x000d_
- Kerusakan Salvage</v>
      </c>
      <c r="V386">
        <v>1</v>
      </c>
      <c r="W386">
        <v>1</v>
      </c>
      <c r="X386">
        <v>1</v>
      </c>
      <c r="Y386">
        <v>0</v>
      </c>
      <c r="Z386">
        <v>0.942</v>
      </c>
      <c r="AA386">
        <v>1</v>
      </c>
      <c r="AB386">
        <v>1</v>
      </c>
      <c r="AC386">
        <v>0.919</v>
      </c>
      <c r="AD386">
        <v>1</v>
      </c>
      <c r="AE386">
        <v>0.989</v>
      </c>
      <c r="AF386">
        <v>0.994000000000001</v>
      </c>
      <c r="AG386">
        <v>1</v>
      </c>
      <c r="AH386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6" t="str">
        <v>June</v>
      </c>
      <c r="AJ386" t="str">
        <v>2026</v>
      </c>
    </row>
    <row r="387" xml:space="preserve">
      <c r="A387">
        <v>46194</v>
      </c>
      <c r="B387" t="str">
        <v>Region 4</v>
      </c>
      <c r="C387" t="str">
        <v>Juanda Airport Surabaya</v>
      </c>
      <c r="D387" t="str">
        <v>SUB</v>
      </c>
      <c r="E387">
        <v>0.899999999999999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0.96</v>
      </c>
      <c r="M387">
        <f>13/14</f>
        <v>0.9285714285714286</v>
      </c>
      <c r="N387">
        <v>0.9912</v>
      </c>
      <c r="O387">
        <v>1</v>
      </c>
      <c r="P387">
        <v>1</v>
      </c>
      <c r="Q387">
        <v>0.9583</v>
      </c>
      <c r="R387">
        <v>0.9</v>
      </c>
      <c r="S387">
        <v>0.9038</v>
      </c>
      <c r="U387" t="str" xml:space="preserve">
        <v xml:space="preserve">- Chiller No. 1 T1B sensor oil temperatur error_x000d_
- Kerusakan Salvage</v>
      </c>
      <c r="V387">
        <v>1</v>
      </c>
      <c r="W387">
        <v>1</v>
      </c>
      <c r="X387">
        <v>1</v>
      </c>
      <c r="Y387">
        <v>0</v>
      </c>
      <c r="Z387">
        <v>0.942</v>
      </c>
      <c r="AA387">
        <v>1</v>
      </c>
      <c r="AB387">
        <v>1</v>
      </c>
      <c r="AC387">
        <v>0.919</v>
      </c>
      <c r="AD387">
        <v>1</v>
      </c>
      <c r="AE387">
        <v>0.989</v>
      </c>
      <c r="AF387">
        <v>0.994000000000001</v>
      </c>
      <c r="AG387">
        <v>1</v>
      </c>
      <c r="AH387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7" t="str">
        <v>June</v>
      </c>
      <c r="AJ387" t="str">
        <v>2026</v>
      </c>
    </row>
    <row r="388" xml:space="preserve">
      <c r="A388">
        <v>46195</v>
      </c>
      <c r="B388" t="str">
        <v>Region 4</v>
      </c>
      <c r="C388" t="str">
        <v>Juanda Airport Surabaya</v>
      </c>
      <c r="D388" t="str">
        <v>SUB</v>
      </c>
      <c r="E388">
        <v>0.899999999999999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0.96</v>
      </c>
      <c r="M388">
        <f>13/14</f>
        <v>0.9285714285714286</v>
      </c>
      <c r="N388">
        <v>0.9912</v>
      </c>
      <c r="O388">
        <v>1</v>
      </c>
      <c r="P388">
        <v>1</v>
      </c>
      <c r="Q388">
        <v>0.9583</v>
      </c>
      <c r="R388">
        <v>0.9</v>
      </c>
      <c r="S388">
        <v>0.9038</v>
      </c>
      <c r="U388" t="str" xml:space="preserve">
        <v xml:space="preserve">- Chiller No. 1 T1B sensor oil temperatur error_x000d_
- Kerusakan Salvage</v>
      </c>
      <c r="V388">
        <v>1</v>
      </c>
      <c r="W388">
        <v>1</v>
      </c>
      <c r="X388">
        <v>1</v>
      </c>
      <c r="Y388">
        <v>0</v>
      </c>
      <c r="Z388">
        <v>0.941999999999999</v>
      </c>
      <c r="AA388">
        <v>1</v>
      </c>
      <c r="AB388">
        <v>1</v>
      </c>
      <c r="AC388">
        <v>0.919</v>
      </c>
      <c r="AD388">
        <v>1</v>
      </c>
      <c r="AE388">
        <v>0.989</v>
      </c>
      <c r="AF388">
        <v>0.994000000000001</v>
      </c>
      <c r="AG388">
        <v>1</v>
      </c>
      <c r="AH388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8" t="str">
        <v>June</v>
      </c>
      <c r="AJ388" t="str">
        <v>2026</v>
      </c>
    </row>
    <row r="389" xml:space="preserve">
      <c r="A389">
        <v>46196</v>
      </c>
      <c r="B389" t="str">
        <v>Region 4</v>
      </c>
      <c r="C389" t="str">
        <v>Juanda Airport Surabaya</v>
      </c>
      <c r="D389" t="str">
        <v>SUB</v>
      </c>
      <c r="E389">
        <v>0.899999999999999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0.96</v>
      </c>
      <c r="M389">
        <f>13/14</f>
        <v>0.9285714285714286</v>
      </c>
      <c r="N389">
        <v>0.9912</v>
      </c>
      <c r="O389">
        <v>1</v>
      </c>
      <c r="P389">
        <v>1</v>
      </c>
      <c r="Q389">
        <v>0.9583</v>
      </c>
      <c r="R389">
        <v>0.9</v>
      </c>
      <c r="S389">
        <v>0.9038</v>
      </c>
      <c r="U389" t="str" xml:space="preserve">
        <v xml:space="preserve">- Chiller No. 1 T1B sensor oil temperatur error_x000d_
- Kerusakan Salvage</v>
      </c>
      <c r="V389">
        <v>1</v>
      </c>
      <c r="W389">
        <v>1</v>
      </c>
      <c r="X389">
        <v>1</v>
      </c>
      <c r="Y389">
        <v>0</v>
      </c>
      <c r="Z389">
        <v>0.941999999999999</v>
      </c>
      <c r="AA389">
        <v>1</v>
      </c>
      <c r="AB389">
        <v>1</v>
      </c>
      <c r="AC389">
        <v>0.919</v>
      </c>
      <c r="AD389">
        <v>1</v>
      </c>
      <c r="AE389">
        <v>0.989</v>
      </c>
      <c r="AF389">
        <v>0.994000000000001</v>
      </c>
      <c r="AG389">
        <v>1</v>
      </c>
      <c r="AH389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89" t="str">
        <v>June</v>
      </c>
      <c r="AJ389" t="str">
        <v>2026</v>
      </c>
    </row>
    <row r="390" xml:space="preserve">
      <c r="A390">
        <v>46197</v>
      </c>
      <c r="B390" t="str">
        <v>Region 4</v>
      </c>
      <c r="C390" t="str">
        <v>Juanda Airport Surabaya</v>
      </c>
      <c r="D390" t="str">
        <v>SUB</v>
      </c>
      <c r="E390">
        <v>0.899999999999999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0.96</v>
      </c>
      <c r="M390">
        <f>13/14</f>
        <v>0.9285714285714286</v>
      </c>
      <c r="N390">
        <v>0.9912</v>
      </c>
      <c r="O390">
        <v>1</v>
      </c>
      <c r="P390">
        <v>1</v>
      </c>
      <c r="Q390">
        <v>0.9583</v>
      </c>
      <c r="R390">
        <v>0.9</v>
      </c>
      <c r="S390">
        <v>0.9038</v>
      </c>
      <c r="U390" t="str" xml:space="preserve">
        <v xml:space="preserve">- Chiller No. 1 T1B sensor oil temperatur error_x000d_
- Kerusakan Salvage</v>
      </c>
      <c r="V390">
        <v>1</v>
      </c>
      <c r="W390">
        <v>1</v>
      </c>
      <c r="X390">
        <v>1</v>
      </c>
      <c r="Y390">
        <v>0</v>
      </c>
      <c r="Z390">
        <v>0.941999999999999</v>
      </c>
      <c r="AA390">
        <v>1</v>
      </c>
      <c r="AB390">
        <v>1</v>
      </c>
      <c r="AC390">
        <v>0.919</v>
      </c>
      <c r="AD390">
        <v>1</v>
      </c>
      <c r="AE390">
        <v>0.989</v>
      </c>
      <c r="AF390">
        <v>0.994000000000001</v>
      </c>
      <c r="AG390">
        <v>1</v>
      </c>
      <c r="AH390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90" t="str">
        <v>June</v>
      </c>
      <c r="AJ390" t="str">
        <v>2026</v>
      </c>
    </row>
    <row r="391" xml:space="preserve">
      <c r="A391">
        <v>46198</v>
      </c>
      <c r="B391" t="str">
        <v>Region 4</v>
      </c>
      <c r="C391" t="str">
        <v>Juanda Airport Surabaya</v>
      </c>
      <c r="D391" t="str">
        <v>SUB</v>
      </c>
      <c r="E391">
        <v>0.899999999999999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0.96</v>
      </c>
      <c r="M391">
        <f>13/14</f>
        <v>0.9285714285714286</v>
      </c>
      <c r="N391">
        <v>0.9912</v>
      </c>
      <c r="O391">
        <v>1</v>
      </c>
      <c r="P391">
        <v>1</v>
      </c>
      <c r="Q391">
        <v>0.9583</v>
      </c>
      <c r="R391">
        <v>0.9</v>
      </c>
      <c r="S391">
        <v>0.9038</v>
      </c>
      <c r="U391" t="str" xml:space="preserve">
        <v xml:space="preserve">- Chiller No. 1 T1B sensor oil temperatur error_x000d_
- Kerusakan Salvage</v>
      </c>
      <c r="V391">
        <v>1</v>
      </c>
      <c r="W391">
        <v>1</v>
      </c>
      <c r="X391">
        <v>1</v>
      </c>
      <c r="Y391">
        <v>0</v>
      </c>
      <c r="Z391">
        <v>0.941999999999999</v>
      </c>
      <c r="AA391">
        <v>1</v>
      </c>
      <c r="AB391">
        <v>1</v>
      </c>
      <c r="AC391">
        <v>0.919</v>
      </c>
      <c r="AD391">
        <v>1</v>
      </c>
      <c r="AE391">
        <v>0.989</v>
      </c>
      <c r="AF391">
        <v>0.994000000000001</v>
      </c>
      <c r="AG391">
        <v>1</v>
      </c>
      <c r="AH391" t="str" xml:space="preserve">
        <v xml:space="preserve">1. Terdapat kerusakan kamera CCTV pada area landside. perimeter dan terminal.     _x000d_
    Saat ini dilakukan proses perbaikan secara bertahap._x000d_
2. Sesuai KM.39 Thn.2024 utk standar peralatan ETD di Bandara Juanda_x000d_
    adalah 5 unit, yang dimiliki ada 1 unit dalam proses perbaikan. Dan di tahun   _x000d_
    2025/2026 ada investasi pengadaan ETD sebanyak 4 unit.</v>
      </c>
      <c r="AI391" t="str">
        <v>June</v>
      </c>
      <c r="AJ391" t="str">
        <v>2026</v>
      </c>
    </row>
    <row r="392" xml:space="preserve">
      <c r="A392">
        <v>46199</v>
      </c>
      <c r="B392" t="str">
        <v>Region 4</v>
      </c>
      <c r="C392" t="str">
        <v>Juanda Airport Surabaya</v>
      </c>
      <c r="D392" t="str">
        <v>SUB</v>
      </c>
      <c r="E392">
        <v>0.899999999999999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0.96</v>
      </c>
      <c r="M392">
        <f>13/14</f>
        <v>0.9285714285714286</v>
      </c>
      <c r="N392">
        <v>0.9912</v>
      </c>
      <c r="O392">
        <v>1</v>
      </c>
      <c r="P392">
        <v>1</v>
      </c>
      <c r="Q392">
        <v>0.9583</v>
      </c>
      <c r="R392">
        <v>0.9</v>
      </c>
      <c r="S392">
        <v>0.9038</v>
      </c>
      <c r="U392" t="str" xml:space="preserve">
        <v xml:space="preserve">- Chiller No. 1 T1B sensor oil temperatur error_x000d_
- Kerusakan Salvage</v>
      </c>
      <c r="V392">
        <v>1</v>
      </c>
      <c r="W392">
        <v>1</v>
      </c>
      <c r="X392">
        <v>1</v>
      </c>
      <c r="Y392">
        <v>0.800000000000001</v>
      </c>
      <c r="Z392">
        <v>0.941999999999999</v>
      </c>
      <c r="AA392">
        <v>1</v>
      </c>
      <c r="AB392">
        <v>1</v>
      </c>
      <c r="AC392">
        <v>0.919</v>
      </c>
      <c r="AD392">
        <v>1</v>
      </c>
      <c r="AE392">
        <v>0.989</v>
      </c>
      <c r="AF392">
        <v>0.994000000000001</v>
      </c>
      <c r="AG392">
        <v>1</v>
      </c>
      <c r="AH392" t="str" xml:space="preserve">
        <v xml:space="preserve">1. Terdapat kerusakan kamera CCTV pada area landside. perimeter dan terminal.     _x000d_
    Saat ini dilakukan proses perbaikan secara bertahap._x000d_
2. Kerusakan 1 unit ETD pada part pump flow,polysulfone dan 5 micron .</v>
      </c>
      <c r="AI392" t="str">
        <v>June</v>
      </c>
      <c r="AJ392" t="str">
        <v>2026</v>
      </c>
    </row>
    <row r="496">
      <c r="F496">
        <f>AVERAGE(F285:K285)</f>
        <v>0.9933333333333333</v>
      </c>
      <c r="M496">
        <f>AVERAGE(M285:T285)</f>
        <v>0.964757142857143</v>
      </c>
      <c r="V496">
        <f>AVERAGE(V292:AG292)</f>
        <v>0.9033333333333333</v>
      </c>
    </row>
    <row r="517">
      <c r="F517">
        <f>AVERAGE(F259:K259)</f>
        <v>0.9933333333333333</v>
      </c>
    </row>
    <row r="518">
      <c r="V518">
        <f>AVERAGE(V286:AG286)</f>
        <v>0.9249166666666667</v>
      </c>
    </row>
    <row r="522">
      <c r="F522">
        <f>AVERAGE(F216:F248)</f>
        <v>1</v>
      </c>
      <c r="G522">
        <f>AVERAGE(G216:G248)</f>
        <v>1</v>
      </c>
      <c r="H522">
        <f>AVERAGE(H216:H248)</f>
        <v>1</v>
      </c>
      <c r="I522">
        <f>AVERAGE(I216:I248)</f>
        <v>1</v>
      </c>
      <c r="J522">
        <f>AVERAGE(J216:J248)</f>
        <v>1</v>
      </c>
      <c r="K522">
        <f>AVERAGE(K216:K248)</f>
        <v>0.9600000000000006</v>
      </c>
      <c r="M522" t="str">
        <v>`</v>
      </c>
    </row>
  </sheetData>
  <pageMargins left="0.7" right="0.7" top="0.75" bottom="0.75" header="0.3" footer="0.3"/>
  <ignoredErrors>
    <ignoredError numberStoredAsText="1" sqref="A1:AL1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2026-08-31T02:18:30Z</dcterms:created>
  <dcterms:modified xsi:type="dcterms:W3CDTF">2026-08-31T02:19:32Z</dcterms:modified>
  <cp:lastModifiedBy>adityarizq433@outlook.com</cp:lastModifiedBy>
  <dc:creator>adityarizq433@outlook.com</dc:creator>
</cp:coreProperties>
</file>